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lol\Downloads\"/>
    </mc:Choice>
  </mc:AlternateContent>
  <xr:revisionPtr revIDLastSave="0" documentId="13_ncr:1_{D94531FF-F040-46F4-ABAB-D75F6E443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" sheetId="6" r:id="rId1"/>
    <sheet name="Week 05 – Cost &amp; Resources" sheetId="9" state="hidden" r:id="rId2"/>
    <sheet name="Sheet4" sheetId="10" state="hidden" r:id="rId3"/>
    <sheet name="WBS Dictionar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lcufvJF/wwkdGCRuk0gzbwAvHeD5pjdkDxD+3wJdfc="/>
    </ext>
  </extLst>
</workbook>
</file>

<file path=xl/calcChain.xml><?xml version="1.0" encoding="utf-8"?>
<calcChain xmlns="http://schemas.openxmlformats.org/spreadsheetml/2006/main">
  <c r="N45" i="6" l="1"/>
  <c r="C8" i="9"/>
  <c r="C2" i="9"/>
  <c r="F2" i="9"/>
  <c r="F42" i="9"/>
  <c r="F37" i="9"/>
  <c r="F32" i="9"/>
  <c r="F27" i="9"/>
  <c r="F21" i="9"/>
  <c r="F15" i="9"/>
  <c r="F8" i="9"/>
  <c r="H3" i="10"/>
  <c r="E41" i="6"/>
  <c r="E37" i="6"/>
  <c r="E33" i="6"/>
  <c r="E29" i="6"/>
  <c r="E24" i="6"/>
  <c r="E19" i="6"/>
  <c r="E13" i="6"/>
  <c r="E8" i="6"/>
</calcChain>
</file>

<file path=xl/sharedStrings.xml><?xml version="1.0" encoding="utf-8"?>
<sst xmlns="http://schemas.openxmlformats.org/spreadsheetml/2006/main" count="994" uniqueCount="276">
  <si>
    <t>START 
DATE</t>
  </si>
  <si>
    <t>END 
DATE</t>
  </si>
  <si>
    <t>OVERALL PROGRESS</t>
  </si>
  <si>
    <t>START</t>
  </si>
  <si>
    <t>FINISH</t>
  </si>
  <si>
    <t>COMMENTS</t>
  </si>
  <si>
    <t>PHASES/ACTIVITIES</t>
  </si>
  <si>
    <t>TASK ID</t>
  </si>
  <si>
    <t>Requirement Gathering</t>
  </si>
  <si>
    <t>Data Collection</t>
  </si>
  <si>
    <t>Model Design</t>
  </si>
  <si>
    <t>Model Training</t>
  </si>
  <si>
    <t>Model Evaluation</t>
  </si>
  <si>
    <t>Dashboard Development</t>
  </si>
  <si>
    <t>Testing &amp; Validation</t>
  </si>
  <si>
    <t>Report &amp; Presentation</t>
  </si>
  <si>
    <t>Identify project goals, user needs, and system constraints.</t>
  </si>
  <si>
    <t>Gather relevant data from sources like surveys, datasets</t>
  </si>
  <si>
    <t>Choose algorithms and structure the model to solve the defined problem.</t>
  </si>
  <si>
    <t>Feed data into the model to learn patterns and optimize performance.</t>
  </si>
  <si>
    <t>Assess model accuracy and reliability using test data and metrics.</t>
  </si>
  <si>
    <t>Ensure system functionality, correctness, and robustness.</t>
  </si>
  <si>
    <t>Build a user interface to visualize insights and monitor performance.</t>
  </si>
  <si>
    <t>Summarize findings, methods, and results for stakeholders.</t>
  </si>
  <si>
    <t>FACIAL EXPRESSION CLASSIFICATION USING CNN</t>
  </si>
  <si>
    <t>GROUP SKIPZ</t>
  </si>
  <si>
    <t>WBS ID</t>
  </si>
  <si>
    <t>Work Package Name</t>
  </si>
  <si>
    <t>Description</t>
  </si>
  <si>
    <t>Deliverables</t>
  </si>
  <si>
    <t>Resources Assigned</t>
  </si>
  <si>
    <t>Duration Estimate</t>
  </si>
  <si>
    <t>Acceptance Criteria</t>
  </si>
  <si>
    <t>1.1.1</t>
  </si>
  <si>
    <t>Schedule Kick-off Meeting</t>
  </si>
  <si>
    <t>Arrange and confirm a date and time for the initial project kick-off meeting with the team.</t>
  </si>
  <si>
    <t>Confirmed calendar invite sent to the team.</t>
  </si>
  <si>
    <t>Nadiah</t>
  </si>
  <si>
    <t>0.5 day (4 hours)</t>
  </si>
  <si>
    <t>All core team members confirm attendance.</t>
  </si>
  <si>
    <t>1.1.2</t>
  </si>
  <si>
    <t>Define initial Scope and Goals</t>
  </si>
  <si>
    <t>Document the high-level boundaries of the project, including the core problem statement.</t>
  </si>
  <si>
    <t>Initial Scope Statement document.</t>
  </si>
  <si>
    <t>Angelo</t>
  </si>
  <si>
    <t>Scope statement approved by the Project Manager (Angelo).</t>
  </si>
  <si>
    <t>1.2.1</t>
  </si>
  <si>
    <t>Document functional requirements</t>
  </si>
  <si>
    <t>Identify and formally document what the system must do (e.g., classify 7 emotions, achieve 75% accuracy).</t>
  </si>
  <si>
    <t>List of Functional Requirements (FRs).</t>
  </si>
  <si>
    <t>Qasdina</t>
  </si>
  <si>
    <t>FRs cover all primary system functions.</t>
  </si>
  <si>
    <t>1.2.2</t>
  </si>
  <si>
    <t>Document non-functional requirements</t>
  </si>
  <si>
    <t>Identify and formally document system performance constraints (e.g., processing time less than 500ms, security).</t>
  </si>
  <si>
    <t>List of Non-Functional Requirements (NFRs).</t>
  </si>
  <si>
    <t>NFRs address performance, security, and usability needs.</t>
  </si>
  <si>
    <t>1.3.1</t>
  </si>
  <si>
    <t>Obtain Stakeholder Sign-off</t>
  </si>
  <si>
    <t>Review the gathered requirements with the project sponsor/client and obtain formal approval to proceed.</t>
  </si>
  <si>
    <t>1 day</t>
  </si>
  <si>
    <t>Formal acceptance received from Dr. Farhan Khan.</t>
  </si>
  <si>
    <t>2.1.1</t>
  </si>
  <si>
    <t>Identify and select public datasets</t>
  </si>
  <si>
    <t>Research and select suitable labeled facial expression datasets (e.g., FER-2013) that align with project goals.</t>
  </si>
  <si>
    <t>List of potential datasets with licensing and size details.</t>
  </si>
  <si>
    <t>Selection finalized and approved by ML Engineer.</t>
  </si>
  <si>
    <t>2.2.1</t>
  </si>
  <si>
    <t>Download/Extract raw data and labels</t>
  </si>
  <si>
    <t>Securely download the selected datasets and organize the raw image files and associated label metadata.</t>
  </si>
  <si>
    <t>2.3.1</t>
  </si>
  <si>
    <t>Filter out low-quality/unlabeled images</t>
  </si>
  <si>
    <t>Manually or programmatically inspect and remove corrupted, blurred, or improperly labeled images from the raw set.</t>
  </si>
  <si>
    <t>2 days</t>
  </si>
  <si>
    <t>Data quality score (or error rate) meets acceptable standard.</t>
  </si>
  <si>
    <t>2.3.2</t>
  </si>
  <si>
    <t>Resize and normalize images</t>
  </si>
  <si>
    <t>Script for image preprocessing created and tested.</t>
  </si>
  <si>
    <t>Preprocessing script runs successfully on sample data.</t>
  </si>
  <si>
    <t>2.4.1</t>
  </si>
  <si>
    <t>Apply transformations (augmentation)</t>
  </si>
  <si>
    <t>2.5.1</t>
  </si>
  <si>
    <t>Finalize and version control dataset</t>
  </si>
  <si>
    <t>Split the dataset into training, validation, and test sets, and commit the final metadata/links to version control.</t>
  </si>
  <si>
    <t>Splits are correctly balanced and committed to GitHub.</t>
  </si>
  <si>
    <t>3.1.1</t>
  </si>
  <si>
    <t>Research and select CNN architectures</t>
  </si>
  <si>
    <t>Study various CNN models (e.g., VGG, ResNet) and choose a baseline architecture for adaptation.</t>
  </si>
  <si>
    <t>Document outlining the chosen baseline architecture and justification.</t>
  </si>
  <si>
    <t>Selection is based on complexity vs. performance trade-offs.</t>
  </si>
  <si>
    <t>3.1.2</t>
  </si>
  <si>
    <t>Define layer structure and functions</t>
  </si>
  <si>
    <t>Finalize the specific layer details, filter counts, and activation functions for the custom CNN model.</t>
  </si>
  <si>
    <t>Model architecture diagram/code structure.</t>
  </si>
  <si>
    <t>Model definition matches the required complexity for facial recognition.</t>
  </si>
  <si>
    <t>3.2.1</t>
  </si>
  <si>
    <t>Set up the ML environment</t>
  </si>
  <si>
    <t>Install necessary libraries and frameworks (Python, TensorFlow/Keras, OpenCV) on the development machine.</t>
  </si>
  <si>
    <t>All required libraries are installed without dependency conflicts.</t>
  </si>
  <si>
    <t>3.2.2</t>
  </si>
  <si>
    <t>Secure necessary compute resources</t>
  </si>
  <si>
    <t>Ensure access to GPU or cloud resources required for the heavy model training phase.</t>
  </si>
  <si>
    <t>Confirmed access/allocation of GPU compute time.</t>
  </si>
  <si>
    <t>Compute resources are tested and verified for use.</t>
  </si>
  <si>
    <t>3.3.1</t>
  </si>
  <si>
    <t>Develop and commit initial model code</t>
  </si>
  <si>
    <t>Write the initial Python code defining the chosen CNN architecture and commit it to GitHub.</t>
  </si>
  <si>
    <t>Model code runs without syntax errors and prints a summary.</t>
  </si>
  <si>
    <t>4.1.1</t>
  </si>
  <si>
    <t>Define hyperparameters</t>
  </si>
  <si>
    <t>Determine optimal values for learning rate, batch size, and the total number of training epochs.</t>
  </si>
  <si>
    <t>List of training hyperparameters.</t>
  </si>
  <si>
    <t>Parameters are chosen based on best practices and initial research.</t>
  </si>
  <si>
    <t>4.2.1</t>
  </si>
  <si>
    <t>Execute initial training run</t>
  </si>
  <si>
    <t>Train the model for a few epochs on a small subset of the data to test the pipeline and parameters.</t>
  </si>
  <si>
    <t>Initial training loss/accuracy curves generated.</t>
  </si>
  <si>
    <t>Training pipeline runs successfully without crashing.</t>
  </si>
  <si>
    <t>4.3.1</t>
  </si>
  <si>
    <t>Train the model on the full augmented dataset</t>
  </si>
  <si>
    <t>Run the main training process using the final dataset and defined hyperparameters.</t>
  </si>
  <si>
    <t>Final training log detailing loss and validation accuracy per epoch.</t>
  </si>
  <si>
    <t>3 days</t>
  </si>
  <si>
    <t>Training is completed up to the defined epoch count.</t>
  </si>
  <si>
    <t>4.3.2</t>
  </si>
  <si>
    <t>Monitor loss and accuracy metrics</t>
  </si>
  <si>
    <t>Track and plot the training and validation loss/accuracy to check for overfitting/underfitting.</t>
  </si>
  <si>
    <t>Graphs of training/validation loss and accuracy over time.</t>
  </si>
  <si>
    <t>Training logs show reasonable convergence.</t>
  </si>
  <si>
    <t>4.4.1</t>
  </si>
  <si>
    <t>Save the best-performing model</t>
  </si>
  <si>
    <t>Select the model checkpoint with the highest validation accuracy and save it in the required format.</t>
  </si>
  <si>
    <t>Saved model file is verified to load correctly.</t>
  </si>
  <si>
    <t>5.1.1</t>
  </si>
  <si>
    <t>Prepare the dedicated, unseen test dataset</t>
  </si>
  <si>
    <t>Ensure the test dataset is completely separated from the training/validation sets and correctly formatted.</t>
  </si>
  <si>
    <t>Final test dataset ready for inference.</t>
  </si>
  <si>
    <t>Test data integrity verified.</t>
  </si>
  <si>
    <t>5.2.1</t>
  </si>
  <si>
    <t>Calculate performance metrics</t>
  </si>
  <si>
    <t>Run the trained model on the test data and calculate accuracy, precision, recall, and F1-score.</t>
  </si>
  <si>
    <t>Table of key performance metrics.</t>
  </si>
  <si>
    <t>All four key metrics (accuracy, precision, recall, F1) are calculated.</t>
  </si>
  <si>
    <t>5.3.1</t>
  </si>
  <si>
    <t>Analyze misclassified images</t>
  </si>
  <si>
    <t>Identify and document patterns in the images the model failed to classify correctly (error analysis).</t>
  </si>
  <si>
    <t>Log of model misclassifications and potential causes.</t>
  </si>
  <si>
    <t>At least 10 misclassified images analyzed.</t>
  </si>
  <si>
    <t>5.4.1</t>
  </si>
  <si>
    <t>Document final performance metrics</t>
  </si>
  <si>
    <t>Evaluation Summary document.</t>
  </si>
  <si>
    <t>6.1.1</t>
  </si>
  <si>
    <t>Create mockups of the classification output</t>
  </si>
  <si>
    <t>Design the visual layout and user experience (UI/UX) for the prototype application/dashboard.</t>
  </si>
  <si>
    <t>Wireframes or visual mockups of the user interface.</t>
  </si>
  <si>
    <t>Mockups reviewed and approved by the team.</t>
  </si>
  <si>
    <t>6.2.1</t>
  </si>
  <si>
    <t>Integrate the trained model with application</t>
  </si>
  <si>
    <t>Build the API endpoint or backend logic that loads the trained model file and handles image input/output.</t>
  </si>
  <si>
    <t>Backend module capable of returning model predictions.</t>
  </si>
  <si>
    <t>Integration successfully loads and makes a prediction on a sample image.</t>
  </si>
  <si>
    <t>6.3.1</t>
  </si>
  <si>
    <t>Code the user interface elements</t>
  </si>
  <si>
    <t>Implement the front-end components that display the image, the classification result, and prediction certainty.</t>
  </si>
  <si>
    <t>UI is responsive and accurately reflects the design mockups.</t>
  </si>
  <si>
    <t>6.4.1</t>
  </si>
  <si>
    <t>Finalize the deployable application package</t>
  </si>
  <si>
    <t>Prepare the prototype for sharing (e.g., containerize it, create an executable, or set up a cloud deployment).</t>
  </si>
  <si>
    <t>Deployable prototype package.</t>
  </si>
  <si>
    <t>The prototype runs successfully on a separate target environment.</t>
  </si>
  <si>
    <t>7.1.1</t>
  </si>
  <si>
    <t>Test individual components</t>
  </si>
  <si>
    <t>Conduct unit tests on core modules (data handling, model prediction, dashboard display logic).</t>
  </si>
  <si>
    <t>Unit test results log.</t>
  </si>
  <si>
    <t>All unit tests pass successfully.</t>
  </si>
  <si>
    <t>7.2.1</t>
  </si>
  <si>
    <t>Test end-to-end classification speed</t>
  </si>
  <si>
    <t>Measure the system's total processing latency from image input to result display.</t>
  </si>
  <si>
    <t>Measured latency time recorded.</t>
  </si>
  <si>
    <t>7.3.1</t>
  </si>
  <si>
    <t>Conduct User Acceptance Testing (UAT)</t>
  </si>
  <si>
    <t>Run the prototype with non-team stakeholders (e.g., Customer Service partner) to validate usability and fitness for purpose.</t>
  </si>
  <si>
    <t>Feedback log from UAT participants.</t>
  </si>
  <si>
    <t>UAT stakeholders sign off on the prototype's usability.</t>
  </si>
  <si>
    <t>7.4.1</t>
  </si>
  <si>
    <t>Record all test results and sign off</t>
  </si>
  <si>
    <t>Document all testing procedures, findings, and obtain the final team sign-off on system readiness.</t>
  </si>
  <si>
    <t>Final Testing Documentation.</t>
  </si>
  <si>
    <t>All mandatory tests passed, and documentation is complete.</t>
  </si>
  <si>
    <t>8.1.1</t>
  </si>
  <si>
    <t>Document methodology and results</t>
  </si>
  <si>
    <t>Write the bulk of the final project report, detailing the methods, results, and challenges.</t>
  </si>
  <si>
    <t>Draft of the Final Project Report.</t>
  </si>
  <si>
    <t>All sections of the report are drafted (Methodology, Results, Conclusion).</t>
  </si>
  <si>
    <t>8.2.1</t>
  </si>
  <si>
    <t>Design slides and talking points</t>
  </si>
  <si>
    <t>Create the presentation slides and rehearse the content for the stakeholders.</t>
  </si>
  <si>
    <t>Presentation slide deck.</t>
  </si>
  <si>
    <t>Slides are visually clear and cover all key findings.</t>
  </si>
  <si>
    <t>8.3.1</t>
  </si>
  <si>
    <t>Conduct a team review</t>
  </si>
  <si>
    <t>Have all team members review the report and presentation for clarity, completeness, and errors.</t>
  </si>
  <si>
    <t>Log of review comments and corresponding revisions.</t>
  </si>
  <si>
    <t>All Team Members</t>
  </si>
  <si>
    <t>Report and presentation are free of major errors.</t>
  </si>
  <si>
    <t>8.4.1</t>
  </si>
  <si>
    <t>Deliver final project assets</t>
  </si>
  <si>
    <t>Finalize all deliverables (model, code, report) and conduct the final presentation.</t>
  </si>
  <si>
    <t>Final submission is complete and presentation is delivered.</t>
  </si>
  <si>
    <r>
      <t xml:space="preserve">DURATION
</t>
    </r>
    <r>
      <rPr>
        <sz val="10"/>
        <color theme="1"/>
        <rFont val="Century Gothic"/>
        <family val="2"/>
      </rPr>
      <t>in days</t>
    </r>
  </si>
  <si>
    <r>
      <t>/data/raw/</t>
    </r>
    <r>
      <rPr>
        <sz val="10"/>
        <color rgb="FF1F1F1F"/>
        <rFont val="Century Gothic"/>
        <family val="2"/>
      </rPr>
      <t xml:space="preserve"> folder containing all downloaded files.</t>
    </r>
  </si>
  <si>
    <r>
      <t xml:space="preserve">Cleaned </t>
    </r>
    <r>
      <rPr>
        <sz val="10"/>
        <color rgb="FF444746"/>
        <rFont val="Century Gothic"/>
        <family val="2"/>
      </rPr>
      <t>/data/cleaned/</t>
    </r>
    <r>
      <rPr>
        <sz val="10"/>
        <color rgb="FF1F1F1F"/>
        <rFont val="Century Gothic"/>
        <family val="2"/>
      </rPr>
      <t xml:space="preserve"> folder.</t>
    </r>
  </si>
  <si>
    <r>
      <t>/data/augmented/</t>
    </r>
    <r>
      <rPr>
        <sz val="10"/>
        <color rgb="FF1F1F1F"/>
        <rFont val="Century Gothic"/>
        <family val="2"/>
      </rPr>
      <t xml:space="preserve"> folder with final target size.</t>
    </r>
  </si>
  <si>
    <r>
      <t xml:space="preserve">Versioned </t>
    </r>
    <r>
      <rPr>
        <sz val="10"/>
        <color rgb="FF444746"/>
        <rFont val="Century Gothic"/>
        <family val="2"/>
      </rPr>
      <t>data_split.csv</t>
    </r>
    <r>
      <rPr>
        <sz val="10"/>
        <color rgb="FF1F1F1F"/>
        <rFont val="Century Gothic"/>
        <family val="2"/>
      </rPr>
      <t xml:space="preserve"> and final dataset folder structure.</t>
    </r>
  </si>
  <si>
    <r>
      <t>Functional virtual environment file (</t>
    </r>
    <r>
      <rPr>
        <sz val="10"/>
        <color rgb="FF444746"/>
        <rFont val="Century Gothic"/>
        <family val="2"/>
      </rPr>
      <t>requirements.txt</t>
    </r>
    <r>
      <rPr>
        <sz val="10"/>
        <color rgb="FF1F1F1F"/>
        <rFont val="Century Gothic"/>
        <family val="2"/>
      </rPr>
      <t>).</t>
    </r>
  </si>
  <si>
    <r>
      <t>model_architecture.py</t>
    </r>
    <r>
      <rPr>
        <sz val="10"/>
        <color rgb="FF1F1F1F"/>
        <rFont val="Century Gothic"/>
        <family val="2"/>
      </rPr>
      <t xml:space="preserve"> committed to the repo.</t>
    </r>
  </si>
  <si>
    <t>Data size meets initial target (e.g., 10,000 images).</t>
  </si>
  <si>
    <t>Total dataset size reaches the 10,000 labeled image minimum objective.</t>
  </si>
  <si>
    <t>Document clearly states whether the &gt;= 75% accuracy objective was met.</t>
  </si>
  <si>
    <t>Classification time is &lt;= 500 milliseconds per image.</t>
  </si>
  <si>
    <t>Apply standard preprocessing steps (e.g., resizing images to 48 x 48 pixels, pixel value normalization) for model input.</t>
  </si>
  <si>
    <t>Use techniques like rotation, flipping, and zooming to expand the dataset to &gt;= 10,000 labeled images.</t>
  </si>
  <si>
    <t>Write a concise evaluation summary comparing the results against the target objective of &gt;= 75% accuracy.</t>
  </si>
  <si>
    <r>
      <t>Trained CNN Model File (</t>
    </r>
    <r>
      <rPr>
        <sz val="10"/>
        <color rgb="FF444746"/>
        <rFont val="Century Gothic"/>
        <family val="2"/>
      </rPr>
      <t>.h5</t>
    </r>
    <r>
      <rPr>
        <sz val="10"/>
        <color rgb="FF1F1F1F"/>
        <rFont val="Century Gothic"/>
        <family val="2"/>
      </rPr>
      <t xml:space="preserve"> or </t>
    </r>
    <r>
      <rPr>
        <sz val="10"/>
        <color rgb="FF444746"/>
        <rFont val="Century Gothic"/>
        <family val="2"/>
      </rPr>
      <t>.pkl</t>
    </r>
    <r>
      <rPr>
        <sz val="10"/>
        <color rgb="FF1F1F1F"/>
        <rFont val="Century Gothic"/>
        <family val="2"/>
      </rPr>
      <t>) committed to the repo.</t>
    </r>
  </si>
  <si>
    <t>Functional Prototype Application interface.</t>
  </si>
  <si>
    <t>Final Project Report &amp; Performance Documentation.</t>
  </si>
  <si>
    <t>Requirements document signed/approved by Dr. Farhan Khan.</t>
  </si>
  <si>
    <t>Arrange and confirm a date and time for the initial project kick-off meeting.</t>
  </si>
  <si>
    <t>Review the gathered requirements with the project sponsor/client and obtain formal approval.</t>
  </si>
  <si>
    <t>Research and select suitable labeled facial expression datasets.</t>
  </si>
  <si>
    <t>Securely download the selected datasets and organize the raw image files and labels.</t>
  </si>
  <si>
    <r>
      <t>/data/raw/</t>
    </r>
    <r>
      <rPr>
        <sz val="12"/>
        <color rgb="FF1F1F1F"/>
        <rFont val="Arial"/>
        <family val="2"/>
      </rPr>
      <t xml:space="preserve"> folder containing all downloaded files.</t>
    </r>
  </si>
  <si>
    <t>Inspect and remove corrupted, blurred, or improperly labeled images from the raw set.</t>
  </si>
  <si>
    <r>
      <t xml:space="preserve">Cleaned </t>
    </r>
    <r>
      <rPr>
        <sz val="10"/>
        <color rgb="FF444746"/>
        <rFont val="Google Sans Text"/>
        <family val="2"/>
      </rPr>
      <t>/data/cleaned/</t>
    </r>
    <r>
      <rPr>
        <sz val="12"/>
        <color rgb="FF1F1F1F"/>
        <rFont val="Arial"/>
        <family val="2"/>
      </rPr>
      <t xml:space="preserve"> folder.</t>
    </r>
  </si>
  <si>
    <r>
      <t>/data/augmented/</t>
    </r>
    <r>
      <rPr>
        <sz val="12"/>
        <color rgb="FF1F1F1F"/>
        <rFont val="Arial"/>
        <family val="2"/>
      </rPr>
      <t xml:space="preserve"> folder with final target size.</t>
    </r>
  </si>
  <si>
    <t>Split the dataset into training, validation, and test sets, and commit the final metadata.</t>
  </si>
  <si>
    <r>
      <t xml:space="preserve">Versioned </t>
    </r>
    <r>
      <rPr>
        <sz val="10"/>
        <color rgb="FF444746"/>
        <rFont val="Google Sans Text"/>
        <family val="2"/>
      </rPr>
      <t>data_split.csv</t>
    </r>
    <r>
      <rPr>
        <sz val="12"/>
        <color rgb="FF1F1F1F"/>
        <rFont val="Arial"/>
        <family val="2"/>
      </rPr>
      <t xml:space="preserve"> and final dataset folder structure.</t>
    </r>
  </si>
  <si>
    <t>Study various CNN models and choose a baseline architecture for adaptation.</t>
  </si>
  <si>
    <r>
      <t>Functional virtual environment file (</t>
    </r>
    <r>
      <rPr>
        <sz val="10"/>
        <color rgb="FF444746"/>
        <rFont val="Google Sans Text"/>
        <family val="2"/>
      </rPr>
      <t>requirements.txt</t>
    </r>
    <r>
      <rPr>
        <sz val="12"/>
        <color rgb="FF1F1F1F"/>
        <rFont val="Arial"/>
        <family val="2"/>
      </rPr>
      <t>).</t>
    </r>
  </si>
  <si>
    <r>
      <t>model_architecture.py</t>
    </r>
    <r>
      <rPr>
        <sz val="12"/>
        <color rgb="FF1F1F1F"/>
        <rFont val="Arial"/>
        <family val="2"/>
      </rPr>
      <t xml:space="preserve"> committed to the repo.</t>
    </r>
  </si>
  <si>
    <r>
      <t>Trained CNN Model File (</t>
    </r>
    <r>
      <rPr>
        <sz val="10"/>
        <color rgb="FF444746"/>
        <rFont val="Google Sans Text"/>
        <family val="2"/>
      </rPr>
      <t>.h5</t>
    </r>
    <r>
      <rPr>
        <sz val="12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.pkl</t>
    </r>
    <r>
      <rPr>
        <sz val="12"/>
        <color rgb="FF1F1F1F"/>
        <rFont val="Arial"/>
        <family val="2"/>
      </rPr>
      <t>) committed to the repo.</t>
    </r>
  </si>
  <si>
    <t>Identify and document patterns in the images the model failed to classify correctly.</t>
  </si>
  <si>
    <t>Run the prototype with non-team stakeholders to validate usability and fitness for purpose.</t>
  </si>
  <si>
    <t>Task</t>
  </si>
  <si>
    <t>Duration (Hrs)</t>
  </si>
  <si>
    <t>Resource Name</t>
  </si>
  <si>
    <t>Rate (RM)</t>
  </si>
  <si>
    <t>Total Cost (RM)</t>
  </si>
  <si>
    <t>Assigned Team Member</t>
  </si>
  <si>
    <t>Team Member</t>
  </si>
  <si>
    <t>25/hr</t>
  </si>
  <si>
    <t>Research Assistant</t>
  </si>
  <si>
    <t>30/hr</t>
  </si>
  <si>
    <t>Storage/Server</t>
  </si>
  <si>
    <t>100 flat</t>
  </si>
  <si>
    <t>Software (TensorFlow)</t>
  </si>
  <si>
    <t>GPU Instance</t>
  </si>
  <si>
    <t>10/hr</t>
  </si>
  <si>
    <t>Front-end Tools</t>
  </si>
  <si>
    <t>Finalize the deployable package</t>
  </si>
  <si>
    <t>Resource Type</t>
  </si>
  <si>
    <t>Project Total</t>
  </si>
  <si>
    <t>Identify and formally document system performance constraints (e.g., processing time &lt;=500 ms, security).</t>
  </si>
  <si>
    <t>Apply standard preprocessing steps (e.g., resizing to 48 x 48 pixels, pixel value normalization) for model input.</t>
  </si>
  <si>
    <t>Use techniques like rotation, flipping, and zooming to expand the dataset to &gt;=10,000 labeled images.</t>
  </si>
  <si>
    <t>Write a concise evaluation summary comparing the results against the target objective of &gt;=75% accuracy.</t>
  </si>
  <si>
    <t>Estimated Cost (RM)</t>
  </si>
  <si>
    <t>Calculation Note</t>
  </si>
  <si>
    <t>(4 hrs × RM 20)</t>
  </si>
  <si>
    <t>(8 hrs × RM 20)</t>
  </si>
  <si>
    <t>(16 hrs × RM 20)</t>
  </si>
  <si>
    <t>(24 hrs × RM 20) + (RM 120 GPU Cost)</t>
  </si>
  <si>
    <t>(24 hrs × RM 20)</t>
  </si>
  <si>
    <t>(8 hrs × 3 People × RM 20)</t>
  </si>
  <si>
    <t xml:space="preserve">Total Cost (RM): 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</si>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</sst>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2"/>
      <color theme="1"/>
      <name val="Calibri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sz val="10"/>
      <color rgb="FF444746"/>
      <name val="Century Gothic"/>
      <family val="2"/>
    </font>
    <font>
      <b/>
      <sz val="10"/>
      <color rgb="FF1F1F1F"/>
      <name val="Century Gothic"/>
      <family val="2"/>
    </font>
    <font>
      <sz val="10"/>
      <color rgb="FF1F1F1F"/>
      <name val="Century Gothic"/>
      <family val="2"/>
    </font>
    <font>
      <sz val="24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  <font>
      <b/>
      <sz val="12"/>
      <color rgb="FF1F1F1F"/>
      <name val="Century Gothic"/>
      <family val="2"/>
    </font>
    <font>
      <sz val="12"/>
      <color rgb="FF1F1F1F"/>
      <name val="Century Gothic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92D050"/>
      </patternFill>
    </fill>
    <fill>
      <patternFill patternType="solid">
        <fgColor theme="4" tint="0.79998168889431442"/>
        <bgColor rgb="FFD6D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6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 vertical="center" wrapText="1" readingOrder="1"/>
    </xf>
    <xf numFmtId="0" fontId="3" fillId="5" borderId="7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10" fillId="0" borderId="11" xfId="0" applyFont="1" applyBorder="1" applyAlignment="1">
      <alignment vertical="center" wrapText="1" readingOrder="1"/>
    </xf>
    <xf numFmtId="0" fontId="9" fillId="0" borderId="11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10" fillId="0" borderId="7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3" fontId="10" fillId="0" borderId="11" xfId="0" applyNumberFormat="1" applyFont="1" applyBorder="1" applyAlignment="1">
      <alignment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7" borderId="7" xfId="0" applyFont="1" applyFill="1" applyBorder="1" applyAlignment="1">
      <alignment horizontal="center" vertical="center" wrapText="1" readingOrder="1"/>
    </xf>
    <xf numFmtId="0" fontId="13" fillId="7" borderId="7" xfId="0" applyFont="1" applyFill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3" fontId="12" fillId="0" borderId="7" xfId="0" applyNumberFormat="1" applyFont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164" fontId="4" fillId="2" borderId="8" xfId="0" applyNumberFormat="1" applyFont="1" applyFill="1" applyBorder="1" applyAlignment="1">
      <alignment horizontal="center" vertical="center" wrapText="1" readingOrder="1"/>
    </xf>
    <xf numFmtId="164" fontId="4" fillId="2" borderId="9" xfId="0" applyNumberFormat="1" applyFont="1" applyFill="1" applyBorder="1" applyAlignment="1">
      <alignment horizontal="center" vertical="center" wrapText="1" readingOrder="1"/>
    </xf>
    <xf numFmtId="164" fontId="4" fillId="2" borderId="10" xfId="0" applyNumberFormat="1" applyFont="1" applyFill="1" applyBorder="1" applyAlignment="1">
      <alignment horizontal="center" vertical="center" wrapText="1" readingOrder="1"/>
    </xf>
    <xf numFmtId="0" fontId="14" fillId="0" borderId="0" xfId="0" applyFont="1"/>
    <xf numFmtId="0" fontId="6" fillId="6" borderId="12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14" fillId="0" borderId="0" xfId="0" applyFont="1" applyAlignment="1">
      <alignment horizontal="right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51CA-7F96-4707-B6E1-E6AAF8F8315A}">
  <dimension ref="A2:O45"/>
  <sheetViews>
    <sheetView tabSelected="1" zoomScale="78" zoomScaleNormal="66" workbookViewId="0">
      <pane xSplit="6" ySplit="7" topLeftCell="L43" activePane="bottomRight" state="frozen"/>
      <selection pane="topRight" activeCell="G1" sqref="G1"/>
      <selection pane="bottomLeft" activeCell="A8" sqref="A8"/>
      <selection pane="bottomRight" activeCell="E50" sqref="E50"/>
    </sheetView>
  </sheetViews>
  <sheetFormatPr defaultRowHeight="15.6"/>
  <cols>
    <col min="1" max="1" width="7.09765625" bestFit="1" customWidth="1"/>
    <col min="2" max="2" width="41.8984375" bestFit="1" customWidth="1"/>
    <col min="3" max="4" width="13.8984375" customWidth="1"/>
    <col min="5" max="5" width="15.19921875" customWidth="1"/>
    <col min="6" max="6" width="21.8984375" bestFit="1" customWidth="1"/>
    <col min="7" max="7" width="13.09765625" style="8" customWidth="1"/>
    <col min="8" max="8" width="31.3984375" style="8" customWidth="1"/>
    <col min="9" max="9" width="37.59765625" style="8" customWidth="1"/>
    <col min="10" max="10" width="32.09765625" style="8" customWidth="1"/>
    <col min="11" max="12" width="22.09765625" style="8" customWidth="1"/>
    <col min="13" max="13" width="27.09765625" style="8" customWidth="1"/>
    <col min="14" max="14" width="26.296875" customWidth="1"/>
    <col min="15" max="15" width="30.796875" customWidth="1"/>
  </cols>
  <sheetData>
    <row r="2" spans="1:15" ht="31.2">
      <c r="B2" s="11" t="s">
        <v>24</v>
      </c>
    </row>
    <row r="4" spans="1:15" ht="25.2">
      <c r="B4" s="6" t="s">
        <v>24</v>
      </c>
      <c r="C4" s="1" t="s">
        <v>0</v>
      </c>
      <c r="D4" s="2" t="s">
        <v>1</v>
      </c>
      <c r="E4" s="3" t="s">
        <v>2</v>
      </c>
    </row>
    <row r="5" spans="1:15">
      <c r="B5" s="4" t="s">
        <v>25</v>
      </c>
      <c r="C5" s="5">
        <v>45937</v>
      </c>
      <c r="D5" s="5">
        <v>46334</v>
      </c>
      <c r="E5" s="37" t="s">
        <v>275</v>
      </c>
    </row>
    <row r="7" spans="1:15" ht="25.8">
      <c r="A7" s="10" t="s">
        <v>7</v>
      </c>
      <c r="B7" s="10" t="s">
        <v>6</v>
      </c>
      <c r="C7" s="10" t="s">
        <v>3</v>
      </c>
      <c r="D7" s="10" t="s">
        <v>4</v>
      </c>
      <c r="E7" s="10" t="s">
        <v>209</v>
      </c>
      <c r="F7" s="10" t="s">
        <v>5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7" t="s">
        <v>31</v>
      </c>
      <c r="M7" s="34" t="s">
        <v>32</v>
      </c>
      <c r="N7" s="7" t="s">
        <v>266</v>
      </c>
      <c r="O7" s="7" t="s">
        <v>267</v>
      </c>
    </row>
    <row r="8" spans="1:15" ht="66" customHeight="1">
      <c r="A8" s="27">
        <v>1</v>
      </c>
      <c r="B8" s="27" t="s">
        <v>8</v>
      </c>
      <c r="C8" s="30">
        <v>45937</v>
      </c>
      <c r="D8" s="30">
        <v>45937</v>
      </c>
      <c r="E8" s="27">
        <f t="shared" ref="E8" si="0">D8-C8+1</f>
        <v>1</v>
      </c>
      <c r="F8" s="27" t="s">
        <v>16</v>
      </c>
      <c r="G8" s="9" t="s">
        <v>33</v>
      </c>
      <c r="H8" s="12" t="s">
        <v>34</v>
      </c>
      <c r="I8" s="12" t="s">
        <v>35</v>
      </c>
      <c r="J8" s="12" t="s">
        <v>36</v>
      </c>
      <c r="K8" s="9" t="s">
        <v>37</v>
      </c>
      <c r="L8" s="9" t="s">
        <v>38</v>
      </c>
      <c r="M8" s="35" t="s">
        <v>39</v>
      </c>
      <c r="N8" s="9">
        <v>80</v>
      </c>
      <c r="O8" s="12" t="s">
        <v>268</v>
      </c>
    </row>
    <row r="9" spans="1:15" ht="66" customHeight="1">
      <c r="A9" s="28"/>
      <c r="B9" s="28"/>
      <c r="C9" s="31"/>
      <c r="D9" s="31"/>
      <c r="E9" s="28"/>
      <c r="F9" s="28"/>
      <c r="G9" s="9" t="s">
        <v>40</v>
      </c>
      <c r="H9" s="12" t="s">
        <v>41</v>
      </c>
      <c r="I9" s="12" t="s">
        <v>42</v>
      </c>
      <c r="J9" s="12" t="s">
        <v>43</v>
      </c>
      <c r="K9" s="9" t="s">
        <v>44</v>
      </c>
      <c r="L9" s="9" t="s">
        <v>38</v>
      </c>
      <c r="M9" s="35" t="s">
        <v>45</v>
      </c>
      <c r="N9" s="9">
        <v>80</v>
      </c>
      <c r="O9" s="12" t="s">
        <v>268</v>
      </c>
    </row>
    <row r="10" spans="1:15" ht="66" customHeight="1">
      <c r="A10" s="28"/>
      <c r="B10" s="28"/>
      <c r="C10" s="31"/>
      <c r="D10" s="31"/>
      <c r="E10" s="28"/>
      <c r="F10" s="28"/>
      <c r="G10" s="9" t="s">
        <v>46</v>
      </c>
      <c r="H10" s="12" t="s">
        <v>47</v>
      </c>
      <c r="I10" s="12" t="s">
        <v>48</v>
      </c>
      <c r="J10" s="12" t="s">
        <v>49</v>
      </c>
      <c r="K10" s="9" t="s">
        <v>50</v>
      </c>
      <c r="L10" s="9" t="s">
        <v>38</v>
      </c>
      <c r="M10" s="35" t="s">
        <v>51</v>
      </c>
      <c r="N10" s="9">
        <v>80</v>
      </c>
      <c r="O10" s="12" t="s">
        <v>268</v>
      </c>
    </row>
    <row r="11" spans="1:15" ht="66" customHeight="1">
      <c r="A11" s="28"/>
      <c r="B11" s="28"/>
      <c r="C11" s="31"/>
      <c r="D11" s="31"/>
      <c r="E11" s="28"/>
      <c r="F11" s="28"/>
      <c r="G11" s="9" t="s">
        <v>52</v>
      </c>
      <c r="H11" s="12" t="s">
        <v>53</v>
      </c>
      <c r="I11" s="12" t="s">
        <v>54</v>
      </c>
      <c r="J11" s="12" t="s">
        <v>55</v>
      </c>
      <c r="K11" s="9" t="s">
        <v>44</v>
      </c>
      <c r="L11" s="9" t="s">
        <v>38</v>
      </c>
      <c r="M11" s="35" t="s">
        <v>56</v>
      </c>
      <c r="N11" s="9">
        <v>80</v>
      </c>
      <c r="O11" s="12" t="s">
        <v>268</v>
      </c>
    </row>
    <row r="12" spans="1:15" ht="66" customHeight="1">
      <c r="A12" s="29"/>
      <c r="B12" s="29"/>
      <c r="C12" s="32"/>
      <c r="D12" s="32"/>
      <c r="E12" s="29"/>
      <c r="F12" s="29"/>
      <c r="G12" s="9" t="s">
        <v>57</v>
      </c>
      <c r="H12" s="12" t="s">
        <v>58</v>
      </c>
      <c r="I12" s="12" t="s">
        <v>59</v>
      </c>
      <c r="J12" s="12" t="s">
        <v>226</v>
      </c>
      <c r="K12" s="9" t="s">
        <v>44</v>
      </c>
      <c r="L12" s="9" t="s">
        <v>60</v>
      </c>
      <c r="M12" s="35" t="s">
        <v>61</v>
      </c>
      <c r="N12" s="9">
        <v>160</v>
      </c>
      <c r="O12" s="12" t="s">
        <v>269</v>
      </c>
    </row>
    <row r="13" spans="1:15" ht="66" customHeight="1">
      <c r="A13" s="27">
        <v>2</v>
      </c>
      <c r="B13" s="27" t="s">
        <v>9</v>
      </c>
      <c r="C13" s="30">
        <v>45936</v>
      </c>
      <c r="D13" s="30">
        <v>45938</v>
      </c>
      <c r="E13" s="27">
        <f>D13-C13+1</f>
        <v>3</v>
      </c>
      <c r="F13" s="27" t="s">
        <v>17</v>
      </c>
      <c r="G13" s="9" t="s">
        <v>62</v>
      </c>
      <c r="H13" s="12" t="s">
        <v>63</v>
      </c>
      <c r="I13" s="12" t="s">
        <v>64</v>
      </c>
      <c r="J13" s="12" t="s">
        <v>65</v>
      </c>
      <c r="K13" s="9" t="s">
        <v>50</v>
      </c>
      <c r="L13" s="9" t="s">
        <v>60</v>
      </c>
      <c r="M13" s="35" t="s">
        <v>66</v>
      </c>
      <c r="N13" s="9">
        <v>160</v>
      </c>
      <c r="O13" s="12" t="s">
        <v>269</v>
      </c>
    </row>
    <row r="14" spans="1:15" ht="66" customHeight="1">
      <c r="A14" s="28"/>
      <c r="B14" s="28"/>
      <c r="C14" s="31"/>
      <c r="D14" s="31"/>
      <c r="E14" s="28"/>
      <c r="F14" s="28"/>
      <c r="G14" s="9" t="s">
        <v>67</v>
      </c>
      <c r="H14" s="12" t="s">
        <v>68</v>
      </c>
      <c r="I14" s="12" t="s">
        <v>69</v>
      </c>
      <c r="J14" s="13" t="s">
        <v>210</v>
      </c>
      <c r="K14" s="9" t="s">
        <v>37</v>
      </c>
      <c r="L14" s="9" t="s">
        <v>60</v>
      </c>
      <c r="M14" s="35" t="s">
        <v>216</v>
      </c>
      <c r="N14" s="9">
        <v>160</v>
      </c>
      <c r="O14" s="12" t="s">
        <v>269</v>
      </c>
    </row>
    <row r="15" spans="1:15" ht="66" customHeight="1">
      <c r="A15" s="28"/>
      <c r="B15" s="28"/>
      <c r="C15" s="31"/>
      <c r="D15" s="31"/>
      <c r="E15" s="28"/>
      <c r="F15" s="28"/>
      <c r="G15" s="9" t="s">
        <v>70</v>
      </c>
      <c r="H15" s="12" t="s">
        <v>71</v>
      </c>
      <c r="I15" s="12" t="s">
        <v>72</v>
      </c>
      <c r="J15" s="12" t="s">
        <v>211</v>
      </c>
      <c r="K15" s="9" t="s">
        <v>50</v>
      </c>
      <c r="L15" s="9" t="s">
        <v>73</v>
      </c>
      <c r="M15" s="35" t="s">
        <v>74</v>
      </c>
      <c r="N15" s="9">
        <v>320</v>
      </c>
      <c r="O15" s="12" t="s">
        <v>270</v>
      </c>
    </row>
    <row r="16" spans="1:15" ht="66" customHeight="1">
      <c r="A16" s="28"/>
      <c r="B16" s="28"/>
      <c r="C16" s="31"/>
      <c r="D16" s="31"/>
      <c r="E16" s="28"/>
      <c r="F16" s="28"/>
      <c r="G16" s="9" t="s">
        <v>75</v>
      </c>
      <c r="H16" s="12" t="s">
        <v>76</v>
      </c>
      <c r="I16" s="12" t="s">
        <v>220</v>
      </c>
      <c r="J16" s="12" t="s">
        <v>77</v>
      </c>
      <c r="K16" s="9" t="s">
        <v>44</v>
      </c>
      <c r="L16" s="9" t="s">
        <v>60</v>
      </c>
      <c r="M16" s="35" t="s">
        <v>78</v>
      </c>
      <c r="N16" s="9">
        <v>160</v>
      </c>
      <c r="O16" s="12" t="s">
        <v>269</v>
      </c>
    </row>
    <row r="17" spans="1:15" ht="66" customHeight="1">
      <c r="A17" s="28"/>
      <c r="B17" s="28"/>
      <c r="C17" s="31"/>
      <c r="D17" s="31"/>
      <c r="E17" s="28"/>
      <c r="F17" s="28"/>
      <c r="G17" s="9" t="s">
        <v>79</v>
      </c>
      <c r="H17" s="12" t="s">
        <v>80</v>
      </c>
      <c r="I17" s="12" t="s">
        <v>221</v>
      </c>
      <c r="J17" s="13" t="s">
        <v>212</v>
      </c>
      <c r="K17" s="9" t="s">
        <v>44</v>
      </c>
      <c r="L17" s="9" t="s">
        <v>60</v>
      </c>
      <c r="M17" s="35" t="s">
        <v>217</v>
      </c>
      <c r="N17" s="9">
        <v>160</v>
      </c>
      <c r="O17" s="12" t="s">
        <v>269</v>
      </c>
    </row>
    <row r="18" spans="1:15" ht="66" customHeight="1">
      <c r="A18" s="29"/>
      <c r="B18" s="29"/>
      <c r="C18" s="32"/>
      <c r="D18" s="32"/>
      <c r="E18" s="29"/>
      <c r="F18" s="29"/>
      <c r="G18" s="9" t="s">
        <v>81</v>
      </c>
      <c r="H18" s="12" t="s">
        <v>82</v>
      </c>
      <c r="I18" s="12" t="s">
        <v>83</v>
      </c>
      <c r="J18" s="12" t="s">
        <v>213</v>
      </c>
      <c r="K18" s="9" t="s">
        <v>50</v>
      </c>
      <c r="L18" s="9" t="s">
        <v>60</v>
      </c>
      <c r="M18" s="35" t="s">
        <v>84</v>
      </c>
      <c r="N18" s="9">
        <v>160</v>
      </c>
      <c r="O18" s="12" t="s">
        <v>269</v>
      </c>
    </row>
    <row r="19" spans="1:15" ht="66" customHeight="1">
      <c r="A19" s="27">
        <v>3</v>
      </c>
      <c r="B19" s="27" t="s">
        <v>10</v>
      </c>
      <c r="C19" s="30">
        <v>45939</v>
      </c>
      <c r="D19" s="30">
        <v>45943</v>
      </c>
      <c r="E19" s="27">
        <f>D19-C19+1</f>
        <v>5</v>
      </c>
      <c r="F19" s="27" t="s">
        <v>18</v>
      </c>
      <c r="G19" s="9" t="s">
        <v>85</v>
      </c>
      <c r="H19" s="12" t="s">
        <v>86</v>
      </c>
      <c r="I19" s="12" t="s">
        <v>87</v>
      </c>
      <c r="J19" s="12" t="s">
        <v>88</v>
      </c>
      <c r="K19" s="9" t="s">
        <v>44</v>
      </c>
      <c r="L19" s="9" t="s">
        <v>60</v>
      </c>
      <c r="M19" s="35" t="s">
        <v>89</v>
      </c>
      <c r="N19" s="9">
        <v>160</v>
      </c>
      <c r="O19" s="12" t="s">
        <v>269</v>
      </c>
    </row>
    <row r="20" spans="1:15" ht="66" customHeight="1">
      <c r="A20" s="28"/>
      <c r="B20" s="28"/>
      <c r="C20" s="31"/>
      <c r="D20" s="31"/>
      <c r="E20" s="28"/>
      <c r="F20" s="28"/>
      <c r="G20" s="9" t="s">
        <v>90</v>
      </c>
      <c r="H20" s="12" t="s">
        <v>91</v>
      </c>
      <c r="I20" s="12" t="s">
        <v>92</v>
      </c>
      <c r="J20" s="12" t="s">
        <v>93</v>
      </c>
      <c r="K20" s="9" t="s">
        <v>44</v>
      </c>
      <c r="L20" s="9" t="s">
        <v>60</v>
      </c>
      <c r="M20" s="35" t="s">
        <v>94</v>
      </c>
      <c r="N20" s="9">
        <v>160</v>
      </c>
      <c r="O20" s="12" t="s">
        <v>269</v>
      </c>
    </row>
    <row r="21" spans="1:15" ht="66" customHeight="1">
      <c r="A21" s="28"/>
      <c r="B21" s="28"/>
      <c r="C21" s="31"/>
      <c r="D21" s="31"/>
      <c r="E21" s="28"/>
      <c r="F21" s="28"/>
      <c r="G21" s="9" t="s">
        <v>95</v>
      </c>
      <c r="H21" s="12" t="s">
        <v>96</v>
      </c>
      <c r="I21" s="12" t="s">
        <v>97</v>
      </c>
      <c r="J21" s="12" t="s">
        <v>214</v>
      </c>
      <c r="K21" s="9" t="s">
        <v>37</v>
      </c>
      <c r="L21" s="9" t="s">
        <v>38</v>
      </c>
      <c r="M21" s="35" t="s">
        <v>98</v>
      </c>
      <c r="N21" s="9">
        <v>80</v>
      </c>
      <c r="O21" s="12" t="s">
        <v>268</v>
      </c>
    </row>
    <row r="22" spans="1:15" ht="66" customHeight="1">
      <c r="A22" s="28"/>
      <c r="B22" s="28"/>
      <c r="C22" s="31"/>
      <c r="D22" s="31"/>
      <c r="E22" s="28"/>
      <c r="F22" s="28"/>
      <c r="G22" s="9" t="s">
        <v>99</v>
      </c>
      <c r="H22" s="12" t="s">
        <v>100</v>
      </c>
      <c r="I22" s="12" t="s">
        <v>101</v>
      </c>
      <c r="J22" s="12" t="s">
        <v>102</v>
      </c>
      <c r="K22" s="9" t="s">
        <v>37</v>
      </c>
      <c r="L22" s="9" t="s">
        <v>38</v>
      </c>
      <c r="M22" s="35" t="s">
        <v>103</v>
      </c>
      <c r="N22" s="9">
        <v>80</v>
      </c>
      <c r="O22" s="12" t="s">
        <v>268</v>
      </c>
    </row>
    <row r="23" spans="1:15" ht="66" customHeight="1">
      <c r="A23" s="29"/>
      <c r="B23" s="29"/>
      <c r="C23" s="32"/>
      <c r="D23" s="32"/>
      <c r="E23" s="29"/>
      <c r="F23" s="29"/>
      <c r="G23" s="9" t="s">
        <v>104</v>
      </c>
      <c r="H23" s="12" t="s">
        <v>105</v>
      </c>
      <c r="I23" s="12" t="s">
        <v>106</v>
      </c>
      <c r="J23" s="13" t="s">
        <v>215</v>
      </c>
      <c r="K23" s="9" t="s">
        <v>50</v>
      </c>
      <c r="L23" s="9" t="s">
        <v>60</v>
      </c>
      <c r="M23" s="35" t="s">
        <v>107</v>
      </c>
      <c r="N23" s="9">
        <v>160</v>
      </c>
      <c r="O23" s="12" t="s">
        <v>269</v>
      </c>
    </row>
    <row r="24" spans="1:15" ht="66" customHeight="1">
      <c r="A24" s="27">
        <v>4</v>
      </c>
      <c r="B24" s="27" t="s">
        <v>11</v>
      </c>
      <c r="C24" s="30">
        <v>45944</v>
      </c>
      <c r="D24" s="30">
        <v>45947</v>
      </c>
      <c r="E24" s="27">
        <f>D24-C24+1</f>
        <v>4</v>
      </c>
      <c r="F24" s="30" t="s">
        <v>19</v>
      </c>
      <c r="G24" s="9" t="s">
        <v>108</v>
      </c>
      <c r="H24" s="12" t="s">
        <v>109</v>
      </c>
      <c r="I24" s="12" t="s">
        <v>110</v>
      </c>
      <c r="J24" s="12" t="s">
        <v>111</v>
      </c>
      <c r="K24" s="9" t="s">
        <v>44</v>
      </c>
      <c r="L24" s="9" t="s">
        <v>60</v>
      </c>
      <c r="M24" s="35" t="s">
        <v>112</v>
      </c>
      <c r="N24" s="9">
        <v>160</v>
      </c>
      <c r="O24" s="12" t="s">
        <v>269</v>
      </c>
    </row>
    <row r="25" spans="1:15" ht="66" customHeight="1">
      <c r="A25" s="28"/>
      <c r="B25" s="28"/>
      <c r="C25" s="31"/>
      <c r="D25" s="31"/>
      <c r="E25" s="28"/>
      <c r="F25" s="31"/>
      <c r="G25" s="9" t="s">
        <v>113</v>
      </c>
      <c r="H25" s="12" t="s">
        <v>114</v>
      </c>
      <c r="I25" s="12" t="s">
        <v>115</v>
      </c>
      <c r="J25" s="12" t="s">
        <v>116</v>
      </c>
      <c r="K25" s="9" t="s">
        <v>50</v>
      </c>
      <c r="L25" s="9" t="s">
        <v>60</v>
      </c>
      <c r="M25" s="35" t="s">
        <v>117</v>
      </c>
      <c r="N25" s="9">
        <v>160</v>
      </c>
      <c r="O25" s="12" t="s">
        <v>269</v>
      </c>
    </row>
    <row r="26" spans="1:15" ht="66" customHeight="1">
      <c r="A26" s="28"/>
      <c r="B26" s="28"/>
      <c r="C26" s="31"/>
      <c r="D26" s="31"/>
      <c r="E26" s="28"/>
      <c r="F26" s="31"/>
      <c r="G26" s="9" t="s">
        <v>118</v>
      </c>
      <c r="H26" s="12" t="s">
        <v>119</v>
      </c>
      <c r="I26" s="12" t="s">
        <v>120</v>
      </c>
      <c r="J26" s="12" t="s">
        <v>121</v>
      </c>
      <c r="K26" s="9" t="s">
        <v>37</v>
      </c>
      <c r="L26" s="9" t="s">
        <v>122</v>
      </c>
      <c r="M26" s="35" t="s">
        <v>123</v>
      </c>
      <c r="N26" s="9">
        <v>600</v>
      </c>
      <c r="O26" s="12" t="s">
        <v>271</v>
      </c>
    </row>
    <row r="27" spans="1:15" ht="66" customHeight="1">
      <c r="A27" s="28"/>
      <c r="B27" s="28"/>
      <c r="C27" s="31"/>
      <c r="D27" s="31"/>
      <c r="E27" s="28"/>
      <c r="F27" s="31"/>
      <c r="G27" s="9" t="s">
        <v>124</v>
      </c>
      <c r="H27" s="12" t="s">
        <v>125</v>
      </c>
      <c r="I27" s="12" t="s">
        <v>126</v>
      </c>
      <c r="J27" s="12" t="s">
        <v>127</v>
      </c>
      <c r="K27" s="9" t="s">
        <v>50</v>
      </c>
      <c r="L27" s="9" t="s">
        <v>60</v>
      </c>
      <c r="M27" s="35" t="s">
        <v>128</v>
      </c>
      <c r="N27" s="9">
        <v>160</v>
      </c>
      <c r="O27" s="12" t="s">
        <v>269</v>
      </c>
    </row>
    <row r="28" spans="1:15" ht="66" customHeight="1">
      <c r="A28" s="29"/>
      <c r="B28" s="29"/>
      <c r="C28" s="32"/>
      <c r="D28" s="32"/>
      <c r="E28" s="29"/>
      <c r="F28" s="32"/>
      <c r="G28" s="9" t="s">
        <v>129</v>
      </c>
      <c r="H28" s="12" t="s">
        <v>130</v>
      </c>
      <c r="I28" s="12" t="s">
        <v>131</v>
      </c>
      <c r="J28" s="12" t="s">
        <v>223</v>
      </c>
      <c r="K28" s="9" t="s">
        <v>44</v>
      </c>
      <c r="L28" s="9" t="s">
        <v>60</v>
      </c>
      <c r="M28" s="35" t="s">
        <v>132</v>
      </c>
      <c r="N28" s="9">
        <v>160</v>
      </c>
      <c r="O28" s="12" t="s">
        <v>269</v>
      </c>
    </row>
    <row r="29" spans="1:15" ht="66" customHeight="1">
      <c r="A29" s="27">
        <v>5</v>
      </c>
      <c r="B29" s="27" t="s">
        <v>12</v>
      </c>
      <c r="C29" s="30">
        <v>45954</v>
      </c>
      <c r="D29" s="30">
        <v>45956</v>
      </c>
      <c r="E29" s="27">
        <f>D29-C29+1</f>
        <v>3</v>
      </c>
      <c r="F29" s="27" t="s">
        <v>20</v>
      </c>
      <c r="G29" s="9" t="s">
        <v>133</v>
      </c>
      <c r="H29" s="12" t="s">
        <v>134</v>
      </c>
      <c r="I29" s="12" t="s">
        <v>135</v>
      </c>
      <c r="J29" s="12" t="s">
        <v>136</v>
      </c>
      <c r="K29" s="9" t="s">
        <v>50</v>
      </c>
      <c r="L29" s="9" t="s">
        <v>38</v>
      </c>
      <c r="M29" s="35" t="s">
        <v>137</v>
      </c>
      <c r="N29" s="9">
        <v>80</v>
      </c>
      <c r="O29" s="12" t="s">
        <v>268</v>
      </c>
    </row>
    <row r="30" spans="1:15" ht="66" customHeight="1">
      <c r="A30" s="28"/>
      <c r="B30" s="28"/>
      <c r="C30" s="31"/>
      <c r="D30" s="31"/>
      <c r="E30" s="28"/>
      <c r="F30" s="28"/>
      <c r="G30" s="9" t="s">
        <v>138</v>
      </c>
      <c r="H30" s="12" t="s">
        <v>139</v>
      </c>
      <c r="I30" s="12" t="s">
        <v>140</v>
      </c>
      <c r="J30" s="12" t="s">
        <v>141</v>
      </c>
      <c r="K30" s="9" t="s">
        <v>44</v>
      </c>
      <c r="L30" s="9" t="s">
        <v>60</v>
      </c>
      <c r="M30" s="35" t="s">
        <v>142</v>
      </c>
      <c r="N30" s="9">
        <v>160</v>
      </c>
      <c r="O30" s="12" t="s">
        <v>269</v>
      </c>
    </row>
    <row r="31" spans="1:15" ht="66" customHeight="1">
      <c r="A31" s="28"/>
      <c r="B31" s="28"/>
      <c r="C31" s="31"/>
      <c r="D31" s="31"/>
      <c r="E31" s="28"/>
      <c r="F31" s="28"/>
      <c r="G31" s="9" t="s">
        <v>143</v>
      </c>
      <c r="H31" s="12" t="s">
        <v>144</v>
      </c>
      <c r="I31" s="12" t="s">
        <v>145</v>
      </c>
      <c r="J31" s="12" t="s">
        <v>146</v>
      </c>
      <c r="K31" s="9" t="s">
        <v>37</v>
      </c>
      <c r="L31" s="9" t="s">
        <v>60</v>
      </c>
      <c r="M31" s="35" t="s">
        <v>147</v>
      </c>
      <c r="N31" s="9">
        <v>160</v>
      </c>
      <c r="O31" s="12" t="s">
        <v>269</v>
      </c>
    </row>
    <row r="32" spans="1:15" ht="66" customHeight="1">
      <c r="A32" s="29"/>
      <c r="B32" s="29"/>
      <c r="C32" s="32"/>
      <c r="D32" s="32"/>
      <c r="E32" s="29"/>
      <c r="F32" s="29"/>
      <c r="G32" s="9" t="s">
        <v>148</v>
      </c>
      <c r="H32" s="12" t="s">
        <v>149</v>
      </c>
      <c r="I32" s="12" t="s">
        <v>222</v>
      </c>
      <c r="J32" s="12" t="s">
        <v>150</v>
      </c>
      <c r="K32" s="9" t="s">
        <v>44</v>
      </c>
      <c r="L32" s="9" t="s">
        <v>38</v>
      </c>
      <c r="M32" s="35" t="s">
        <v>218</v>
      </c>
      <c r="N32" s="9">
        <v>80</v>
      </c>
      <c r="O32" s="12" t="s">
        <v>268</v>
      </c>
    </row>
    <row r="33" spans="1:15" ht="66" customHeight="1">
      <c r="A33" s="27">
        <v>6</v>
      </c>
      <c r="B33" s="27" t="s">
        <v>13</v>
      </c>
      <c r="C33" s="30">
        <v>45957</v>
      </c>
      <c r="D33" s="30">
        <v>45960</v>
      </c>
      <c r="E33" s="27">
        <f>D33-C33+1</f>
        <v>4</v>
      </c>
      <c r="F33" s="27" t="s">
        <v>22</v>
      </c>
      <c r="G33" s="9" t="s">
        <v>151</v>
      </c>
      <c r="H33" s="12" t="s">
        <v>152</v>
      </c>
      <c r="I33" s="12" t="s">
        <v>153</v>
      </c>
      <c r="J33" s="12" t="s">
        <v>154</v>
      </c>
      <c r="K33" s="9" t="s">
        <v>37</v>
      </c>
      <c r="L33" s="9" t="s">
        <v>60</v>
      </c>
      <c r="M33" s="35" t="s">
        <v>155</v>
      </c>
      <c r="N33" s="9">
        <v>160</v>
      </c>
      <c r="O33" s="12" t="s">
        <v>269</v>
      </c>
    </row>
    <row r="34" spans="1:15" ht="66" customHeight="1">
      <c r="A34" s="28"/>
      <c r="B34" s="28"/>
      <c r="C34" s="31"/>
      <c r="D34" s="31"/>
      <c r="E34" s="28"/>
      <c r="F34" s="28"/>
      <c r="G34" s="9" t="s">
        <v>156</v>
      </c>
      <c r="H34" s="12" t="s">
        <v>157</v>
      </c>
      <c r="I34" s="12" t="s">
        <v>158</v>
      </c>
      <c r="J34" s="12" t="s">
        <v>159</v>
      </c>
      <c r="K34" s="9" t="s">
        <v>44</v>
      </c>
      <c r="L34" s="9" t="s">
        <v>60</v>
      </c>
      <c r="M34" s="35" t="s">
        <v>160</v>
      </c>
      <c r="N34" s="9">
        <v>160</v>
      </c>
      <c r="O34" s="12" t="s">
        <v>269</v>
      </c>
    </row>
    <row r="35" spans="1:15" ht="66" customHeight="1">
      <c r="A35" s="28"/>
      <c r="B35" s="28"/>
      <c r="C35" s="31"/>
      <c r="D35" s="31"/>
      <c r="E35" s="28"/>
      <c r="F35" s="28"/>
      <c r="G35" s="9" t="s">
        <v>161</v>
      </c>
      <c r="H35" s="12" t="s">
        <v>162</v>
      </c>
      <c r="I35" s="12" t="s">
        <v>163</v>
      </c>
      <c r="J35" s="12" t="s">
        <v>224</v>
      </c>
      <c r="K35" s="9" t="s">
        <v>50</v>
      </c>
      <c r="L35" s="9" t="s">
        <v>60</v>
      </c>
      <c r="M35" s="35" t="s">
        <v>164</v>
      </c>
      <c r="N35" s="9">
        <v>160</v>
      </c>
      <c r="O35" s="12" t="s">
        <v>269</v>
      </c>
    </row>
    <row r="36" spans="1:15" ht="66" customHeight="1">
      <c r="A36" s="29"/>
      <c r="B36" s="29"/>
      <c r="C36" s="32"/>
      <c r="D36" s="32"/>
      <c r="E36" s="29"/>
      <c r="F36" s="29"/>
      <c r="G36" s="9" t="s">
        <v>165</v>
      </c>
      <c r="H36" s="12" t="s">
        <v>166</v>
      </c>
      <c r="I36" s="12" t="s">
        <v>167</v>
      </c>
      <c r="J36" s="12" t="s">
        <v>168</v>
      </c>
      <c r="K36" s="9" t="s">
        <v>37</v>
      </c>
      <c r="L36" s="9" t="s">
        <v>60</v>
      </c>
      <c r="M36" s="35" t="s">
        <v>169</v>
      </c>
      <c r="N36" s="9">
        <v>160</v>
      </c>
      <c r="O36" s="12" t="s">
        <v>269</v>
      </c>
    </row>
    <row r="37" spans="1:15" ht="66" customHeight="1">
      <c r="A37" s="27">
        <v>7</v>
      </c>
      <c r="B37" s="27" t="s">
        <v>14</v>
      </c>
      <c r="C37" s="30">
        <v>45961</v>
      </c>
      <c r="D37" s="30">
        <v>45963</v>
      </c>
      <c r="E37" s="27">
        <f>D37-C37+1</f>
        <v>3</v>
      </c>
      <c r="F37" s="27" t="s">
        <v>21</v>
      </c>
      <c r="G37" s="9" t="s">
        <v>170</v>
      </c>
      <c r="H37" s="12" t="s">
        <v>171</v>
      </c>
      <c r="I37" s="12" t="s">
        <v>172</v>
      </c>
      <c r="J37" s="12" t="s">
        <v>173</v>
      </c>
      <c r="K37" s="9" t="s">
        <v>50</v>
      </c>
      <c r="L37" s="9" t="s">
        <v>60</v>
      </c>
      <c r="M37" s="35" t="s">
        <v>174</v>
      </c>
      <c r="N37" s="9">
        <v>160</v>
      </c>
      <c r="O37" s="12" t="s">
        <v>269</v>
      </c>
    </row>
    <row r="38" spans="1:15" ht="66" customHeight="1">
      <c r="A38" s="28"/>
      <c r="B38" s="28"/>
      <c r="C38" s="31"/>
      <c r="D38" s="31"/>
      <c r="E38" s="28"/>
      <c r="F38" s="28"/>
      <c r="G38" s="9" t="s">
        <v>175</v>
      </c>
      <c r="H38" s="12" t="s">
        <v>176</v>
      </c>
      <c r="I38" s="12" t="s">
        <v>177</v>
      </c>
      <c r="J38" s="12" t="s">
        <v>178</v>
      </c>
      <c r="K38" s="9" t="s">
        <v>44</v>
      </c>
      <c r="L38" s="9" t="s">
        <v>60</v>
      </c>
      <c r="M38" s="35" t="s">
        <v>219</v>
      </c>
      <c r="N38" s="9">
        <v>160</v>
      </c>
      <c r="O38" s="12" t="s">
        <v>269</v>
      </c>
    </row>
    <row r="39" spans="1:15" ht="66" customHeight="1">
      <c r="A39" s="28"/>
      <c r="B39" s="28"/>
      <c r="C39" s="31"/>
      <c r="D39" s="31"/>
      <c r="E39" s="28"/>
      <c r="F39" s="28"/>
      <c r="G39" s="9" t="s">
        <v>179</v>
      </c>
      <c r="H39" s="12" t="s">
        <v>180</v>
      </c>
      <c r="I39" s="12" t="s">
        <v>181</v>
      </c>
      <c r="J39" s="12" t="s">
        <v>182</v>
      </c>
      <c r="K39" s="9" t="s">
        <v>50</v>
      </c>
      <c r="L39" s="9" t="s">
        <v>60</v>
      </c>
      <c r="M39" s="35" t="s">
        <v>183</v>
      </c>
      <c r="N39" s="9">
        <v>160</v>
      </c>
      <c r="O39" s="12" t="s">
        <v>269</v>
      </c>
    </row>
    <row r="40" spans="1:15" ht="66" customHeight="1">
      <c r="A40" s="29"/>
      <c r="B40" s="29"/>
      <c r="C40" s="32"/>
      <c r="D40" s="32"/>
      <c r="E40" s="29"/>
      <c r="F40" s="29"/>
      <c r="G40" s="9" t="s">
        <v>184</v>
      </c>
      <c r="H40" s="12" t="s">
        <v>185</v>
      </c>
      <c r="I40" s="12" t="s">
        <v>186</v>
      </c>
      <c r="J40" s="12" t="s">
        <v>187</v>
      </c>
      <c r="K40" s="9" t="s">
        <v>37</v>
      </c>
      <c r="L40" s="9" t="s">
        <v>60</v>
      </c>
      <c r="M40" s="35" t="s">
        <v>188</v>
      </c>
      <c r="N40" s="9">
        <v>160</v>
      </c>
      <c r="O40" s="12" t="s">
        <v>269</v>
      </c>
    </row>
    <row r="41" spans="1:15" ht="66" customHeight="1">
      <c r="A41" s="27">
        <v>8</v>
      </c>
      <c r="B41" s="27" t="s">
        <v>15</v>
      </c>
      <c r="C41" s="30">
        <v>45964</v>
      </c>
      <c r="D41" s="30">
        <v>45969</v>
      </c>
      <c r="E41" s="27">
        <f>D41-C41+1</f>
        <v>6</v>
      </c>
      <c r="F41" s="27" t="s">
        <v>23</v>
      </c>
      <c r="G41" s="9" t="s">
        <v>189</v>
      </c>
      <c r="H41" s="12" t="s">
        <v>190</v>
      </c>
      <c r="I41" s="12" t="s">
        <v>191</v>
      </c>
      <c r="J41" s="12" t="s">
        <v>192</v>
      </c>
      <c r="K41" s="9" t="s">
        <v>44</v>
      </c>
      <c r="L41" s="9" t="s">
        <v>122</v>
      </c>
      <c r="M41" s="35" t="s">
        <v>193</v>
      </c>
      <c r="N41" s="9">
        <v>480</v>
      </c>
      <c r="O41" s="12" t="s">
        <v>272</v>
      </c>
    </row>
    <row r="42" spans="1:15" ht="66" customHeight="1">
      <c r="A42" s="28"/>
      <c r="B42" s="28"/>
      <c r="C42" s="31"/>
      <c r="D42" s="31"/>
      <c r="E42" s="28"/>
      <c r="F42" s="28"/>
      <c r="G42" s="9" t="s">
        <v>194</v>
      </c>
      <c r="H42" s="12" t="s">
        <v>195</v>
      </c>
      <c r="I42" s="12" t="s">
        <v>196</v>
      </c>
      <c r="J42" s="12" t="s">
        <v>197</v>
      </c>
      <c r="K42" s="9" t="s">
        <v>50</v>
      </c>
      <c r="L42" s="9" t="s">
        <v>60</v>
      </c>
      <c r="M42" s="35" t="s">
        <v>198</v>
      </c>
      <c r="N42" s="9">
        <v>160</v>
      </c>
      <c r="O42" s="12" t="s">
        <v>269</v>
      </c>
    </row>
    <row r="43" spans="1:15" ht="66" customHeight="1">
      <c r="A43" s="28"/>
      <c r="B43" s="28"/>
      <c r="C43" s="31"/>
      <c r="D43" s="31"/>
      <c r="E43" s="28"/>
      <c r="F43" s="28"/>
      <c r="G43" s="9" t="s">
        <v>199</v>
      </c>
      <c r="H43" s="12" t="s">
        <v>200</v>
      </c>
      <c r="I43" s="12" t="s">
        <v>201</v>
      </c>
      <c r="J43" s="12" t="s">
        <v>202</v>
      </c>
      <c r="K43" s="9" t="s">
        <v>203</v>
      </c>
      <c r="L43" s="9" t="s">
        <v>60</v>
      </c>
      <c r="M43" s="35" t="s">
        <v>204</v>
      </c>
      <c r="N43" s="9">
        <v>480</v>
      </c>
      <c r="O43" s="12" t="s">
        <v>273</v>
      </c>
    </row>
    <row r="44" spans="1:15" ht="66" customHeight="1">
      <c r="A44" s="29"/>
      <c r="B44" s="29"/>
      <c r="C44" s="32"/>
      <c r="D44" s="32"/>
      <c r="E44" s="29"/>
      <c r="F44" s="29"/>
      <c r="G44" s="9" t="s">
        <v>205</v>
      </c>
      <c r="H44" s="12" t="s">
        <v>206</v>
      </c>
      <c r="I44" s="12" t="s">
        <v>207</v>
      </c>
      <c r="J44" s="12" t="s">
        <v>225</v>
      </c>
      <c r="K44" s="9" t="s">
        <v>203</v>
      </c>
      <c r="L44" s="9" t="s">
        <v>60</v>
      </c>
      <c r="M44" s="35" t="s">
        <v>208</v>
      </c>
      <c r="N44" s="9">
        <v>480</v>
      </c>
      <c r="O44" s="12" t="s">
        <v>273</v>
      </c>
    </row>
    <row r="45" spans="1:15">
      <c r="M45" s="36" t="s">
        <v>274</v>
      </c>
      <c r="N45" s="33">
        <f>SUM(N8:N44)</f>
        <v>6840</v>
      </c>
    </row>
  </sheetData>
  <mergeCells count="48">
    <mergeCell ref="E8:E12"/>
    <mergeCell ref="F8:F12"/>
    <mergeCell ref="A8:A12"/>
    <mergeCell ref="A13:A18"/>
    <mergeCell ref="B13:B18"/>
    <mergeCell ref="C13:C18"/>
    <mergeCell ref="D13:D18"/>
    <mergeCell ref="B8:B12"/>
    <mergeCell ref="C8:C12"/>
    <mergeCell ref="D8:D12"/>
    <mergeCell ref="F24:F28"/>
    <mergeCell ref="A24:A28"/>
    <mergeCell ref="F13:F18"/>
    <mergeCell ref="B19:B23"/>
    <mergeCell ref="C19:C23"/>
    <mergeCell ref="D19:D23"/>
    <mergeCell ref="E19:E23"/>
    <mergeCell ref="F19:F23"/>
    <mergeCell ref="E13:E18"/>
    <mergeCell ref="A19:A23"/>
    <mergeCell ref="B24:B28"/>
    <mergeCell ref="C24:C28"/>
    <mergeCell ref="D24:D28"/>
    <mergeCell ref="E24:E28"/>
    <mergeCell ref="F33:F36"/>
    <mergeCell ref="A33:A36"/>
    <mergeCell ref="B29:B32"/>
    <mergeCell ref="C29:C32"/>
    <mergeCell ref="D29:D32"/>
    <mergeCell ref="E29:E32"/>
    <mergeCell ref="F29:F32"/>
    <mergeCell ref="A29:A32"/>
    <mergeCell ref="A37:A40"/>
    <mergeCell ref="B33:B36"/>
    <mergeCell ref="C33:C36"/>
    <mergeCell ref="D33:D36"/>
    <mergeCell ref="E33:E36"/>
    <mergeCell ref="F41:F44"/>
    <mergeCell ref="B37:B40"/>
    <mergeCell ref="C37:C40"/>
    <mergeCell ref="D37:D40"/>
    <mergeCell ref="E37:E40"/>
    <mergeCell ref="F37:F40"/>
    <mergeCell ref="A41:A44"/>
    <mergeCell ref="B41:B44"/>
    <mergeCell ref="C41:C44"/>
    <mergeCell ref="D41:D44"/>
    <mergeCell ref="E41:E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4960-A4E4-4D36-A706-859F7DCDCC44}">
  <dimension ref="A1:G46"/>
  <sheetViews>
    <sheetView zoomScale="62" zoomScaleNormal="62" workbookViewId="0">
      <selection activeCell="I12" sqref="I12"/>
    </sheetView>
  </sheetViews>
  <sheetFormatPr defaultRowHeight="15.6"/>
  <cols>
    <col min="1" max="1" width="10.59765625" style="8" customWidth="1"/>
    <col min="2" max="2" width="46.8984375" style="8" customWidth="1"/>
    <col min="3" max="3" width="13.296875" style="8" customWidth="1"/>
    <col min="4" max="4" width="17.09765625" style="8" customWidth="1"/>
    <col min="5" max="5" width="11.296875" style="8" customWidth="1"/>
    <col min="6" max="6" width="13" style="8" customWidth="1"/>
    <col min="7" max="7" width="19.09765625" style="8" customWidth="1"/>
    <col min="8" max="8" width="8.796875" customWidth="1"/>
  </cols>
  <sheetData>
    <row r="1" spans="1:7" ht="36.6" customHeight="1">
      <c r="A1" s="21" t="s">
        <v>26</v>
      </c>
      <c r="B1" s="21" t="s">
        <v>243</v>
      </c>
      <c r="C1" s="21" t="s">
        <v>244</v>
      </c>
      <c r="D1" s="21" t="s">
        <v>245</v>
      </c>
      <c r="E1" s="21" t="s">
        <v>246</v>
      </c>
      <c r="F1" s="21" t="s">
        <v>247</v>
      </c>
      <c r="G1" s="21" t="s">
        <v>248</v>
      </c>
    </row>
    <row r="2" spans="1:7" ht="36.6" customHeight="1">
      <c r="A2" s="22">
        <v>1</v>
      </c>
      <c r="B2" s="22" t="s">
        <v>8</v>
      </c>
      <c r="C2" s="22">
        <f>SUM(C3:C7)</f>
        <v>24</v>
      </c>
      <c r="D2" s="23"/>
      <c r="E2" s="23"/>
      <c r="F2" s="22">
        <f>SUM(F3:F7)</f>
        <v>600</v>
      </c>
      <c r="G2" s="23"/>
    </row>
    <row r="3" spans="1:7" ht="36.6" customHeight="1">
      <c r="A3" s="23" t="s">
        <v>33</v>
      </c>
      <c r="B3" s="23" t="s">
        <v>34</v>
      </c>
      <c r="C3" s="23">
        <v>4</v>
      </c>
      <c r="D3" s="23" t="s">
        <v>249</v>
      </c>
      <c r="E3" s="23" t="s">
        <v>250</v>
      </c>
      <c r="F3" s="22">
        <v>100</v>
      </c>
      <c r="G3" s="23" t="s">
        <v>37</v>
      </c>
    </row>
    <row r="4" spans="1:7" ht="36.6" customHeight="1">
      <c r="A4" s="23" t="s">
        <v>40</v>
      </c>
      <c r="B4" s="23" t="s">
        <v>41</v>
      </c>
      <c r="C4" s="23">
        <v>4</v>
      </c>
      <c r="D4" s="23" t="s">
        <v>249</v>
      </c>
      <c r="E4" s="23" t="s">
        <v>250</v>
      </c>
      <c r="F4" s="22">
        <v>100</v>
      </c>
      <c r="G4" s="23" t="s">
        <v>44</v>
      </c>
    </row>
    <row r="5" spans="1:7" ht="36.6" customHeight="1">
      <c r="A5" s="23" t="s">
        <v>46</v>
      </c>
      <c r="B5" s="23" t="s">
        <v>47</v>
      </c>
      <c r="C5" s="23">
        <v>4</v>
      </c>
      <c r="D5" s="23" t="s">
        <v>249</v>
      </c>
      <c r="E5" s="23" t="s">
        <v>250</v>
      </c>
      <c r="F5" s="22">
        <v>100</v>
      </c>
      <c r="G5" s="23" t="s">
        <v>50</v>
      </c>
    </row>
    <row r="6" spans="1:7" ht="36.6" customHeight="1">
      <c r="A6" s="23" t="s">
        <v>52</v>
      </c>
      <c r="B6" s="23" t="s">
        <v>53</v>
      </c>
      <c r="C6" s="23">
        <v>4</v>
      </c>
      <c r="D6" s="23" t="s">
        <v>249</v>
      </c>
      <c r="E6" s="23" t="s">
        <v>250</v>
      </c>
      <c r="F6" s="22">
        <v>100</v>
      </c>
      <c r="G6" s="23" t="s">
        <v>44</v>
      </c>
    </row>
    <row r="7" spans="1:7" ht="36.6" customHeight="1">
      <c r="A7" s="23" t="s">
        <v>57</v>
      </c>
      <c r="B7" s="23" t="s">
        <v>58</v>
      </c>
      <c r="C7" s="23">
        <v>8</v>
      </c>
      <c r="D7" s="23" t="s">
        <v>249</v>
      </c>
      <c r="E7" s="23" t="s">
        <v>250</v>
      </c>
      <c r="F7" s="22">
        <v>200</v>
      </c>
      <c r="G7" s="23" t="s">
        <v>44</v>
      </c>
    </row>
    <row r="8" spans="1:7" ht="36.6" customHeight="1">
      <c r="A8" s="24">
        <v>2</v>
      </c>
      <c r="B8" s="24" t="s">
        <v>9</v>
      </c>
      <c r="C8" s="24">
        <f>SUM(C9:C14)</f>
        <v>56</v>
      </c>
      <c r="D8" s="25"/>
      <c r="E8" s="25"/>
      <c r="F8" s="26">
        <f>SUM(F9:F14)</f>
        <v>1420</v>
      </c>
      <c r="G8" s="25"/>
    </row>
    <row r="9" spans="1:7" ht="36.6" customHeight="1">
      <c r="A9" s="25" t="s">
        <v>62</v>
      </c>
      <c r="B9" s="25" t="s">
        <v>63</v>
      </c>
      <c r="C9" s="25">
        <v>8</v>
      </c>
      <c r="D9" s="25" t="s">
        <v>251</v>
      </c>
      <c r="E9" s="25" t="s">
        <v>252</v>
      </c>
      <c r="F9" s="24">
        <v>240</v>
      </c>
      <c r="G9" s="25" t="s">
        <v>50</v>
      </c>
    </row>
    <row r="10" spans="1:7" ht="36.6" customHeight="1">
      <c r="A10" s="25" t="s">
        <v>67</v>
      </c>
      <c r="B10" s="25" t="s">
        <v>68</v>
      </c>
      <c r="C10" s="25">
        <v>8</v>
      </c>
      <c r="D10" s="25" t="s">
        <v>253</v>
      </c>
      <c r="E10" s="25" t="s">
        <v>254</v>
      </c>
      <c r="F10" s="24">
        <v>100</v>
      </c>
      <c r="G10" s="25" t="s">
        <v>37</v>
      </c>
    </row>
    <row r="11" spans="1:7" ht="36.6" customHeight="1">
      <c r="A11" s="25" t="s">
        <v>70</v>
      </c>
      <c r="B11" s="25" t="s">
        <v>71</v>
      </c>
      <c r="C11" s="25">
        <v>16</v>
      </c>
      <c r="D11" s="25" t="s">
        <v>251</v>
      </c>
      <c r="E11" s="25" t="s">
        <v>252</v>
      </c>
      <c r="F11" s="24">
        <v>480</v>
      </c>
      <c r="G11" s="25" t="s">
        <v>50</v>
      </c>
    </row>
    <row r="12" spans="1:7" ht="36.6" customHeight="1">
      <c r="A12" s="25" t="s">
        <v>75</v>
      </c>
      <c r="B12" s="25" t="s">
        <v>76</v>
      </c>
      <c r="C12" s="25">
        <v>8</v>
      </c>
      <c r="D12" s="25" t="s">
        <v>249</v>
      </c>
      <c r="E12" s="25" t="s">
        <v>250</v>
      </c>
      <c r="F12" s="24">
        <v>200</v>
      </c>
      <c r="G12" s="25" t="s">
        <v>44</v>
      </c>
    </row>
    <row r="13" spans="1:7" ht="36.6" customHeight="1">
      <c r="A13" s="25" t="s">
        <v>79</v>
      </c>
      <c r="B13" s="25" t="s">
        <v>80</v>
      </c>
      <c r="C13" s="25">
        <v>8</v>
      </c>
      <c r="D13" s="25" t="s">
        <v>249</v>
      </c>
      <c r="E13" s="25" t="s">
        <v>250</v>
      </c>
      <c r="F13" s="24">
        <v>200</v>
      </c>
      <c r="G13" s="25" t="s">
        <v>44</v>
      </c>
    </row>
    <row r="14" spans="1:7" ht="36.6" customHeight="1">
      <c r="A14" s="25" t="s">
        <v>81</v>
      </c>
      <c r="B14" s="25" t="s">
        <v>82</v>
      </c>
      <c r="C14" s="25">
        <v>8</v>
      </c>
      <c r="D14" s="25" t="s">
        <v>249</v>
      </c>
      <c r="E14" s="25" t="s">
        <v>250</v>
      </c>
      <c r="F14" s="24">
        <v>200</v>
      </c>
      <c r="G14" s="25" t="s">
        <v>50</v>
      </c>
    </row>
    <row r="15" spans="1:7" ht="36.6" customHeight="1">
      <c r="A15" s="22">
        <v>3</v>
      </c>
      <c r="B15" s="22" t="s">
        <v>10</v>
      </c>
      <c r="C15" s="22">
        <v>32</v>
      </c>
      <c r="D15" s="23"/>
      <c r="E15" s="23"/>
      <c r="F15" s="22">
        <f>SUM(F16:F20)</f>
        <v>800</v>
      </c>
      <c r="G15" s="23"/>
    </row>
    <row r="16" spans="1:7" ht="36.6" customHeight="1">
      <c r="A16" s="23" t="s">
        <v>85</v>
      </c>
      <c r="B16" s="23" t="s">
        <v>86</v>
      </c>
      <c r="C16" s="23">
        <v>8</v>
      </c>
      <c r="D16" s="23" t="s">
        <v>249</v>
      </c>
      <c r="E16" s="23" t="s">
        <v>250</v>
      </c>
      <c r="F16" s="22">
        <v>200</v>
      </c>
      <c r="G16" s="23" t="s">
        <v>44</v>
      </c>
    </row>
    <row r="17" spans="1:7" ht="36.6" customHeight="1">
      <c r="A17" s="23" t="s">
        <v>90</v>
      </c>
      <c r="B17" s="23" t="s">
        <v>91</v>
      </c>
      <c r="C17" s="23">
        <v>8</v>
      </c>
      <c r="D17" s="23" t="s">
        <v>249</v>
      </c>
      <c r="E17" s="23" t="s">
        <v>250</v>
      </c>
      <c r="F17" s="22">
        <v>200</v>
      </c>
      <c r="G17" s="23" t="s">
        <v>44</v>
      </c>
    </row>
    <row r="18" spans="1:7" ht="36.6" customHeight="1">
      <c r="A18" s="23" t="s">
        <v>95</v>
      </c>
      <c r="B18" s="23" t="s">
        <v>96</v>
      </c>
      <c r="C18" s="23">
        <v>4</v>
      </c>
      <c r="D18" s="23" t="s">
        <v>255</v>
      </c>
      <c r="E18" s="23" t="s">
        <v>254</v>
      </c>
      <c r="F18" s="22">
        <v>100</v>
      </c>
      <c r="G18" s="23" t="s">
        <v>37</v>
      </c>
    </row>
    <row r="19" spans="1:7" ht="36.6" customHeight="1">
      <c r="A19" s="23" t="s">
        <v>99</v>
      </c>
      <c r="B19" s="23" t="s">
        <v>100</v>
      </c>
      <c r="C19" s="23">
        <v>4</v>
      </c>
      <c r="D19" s="23" t="s">
        <v>249</v>
      </c>
      <c r="E19" s="23" t="s">
        <v>250</v>
      </c>
      <c r="F19" s="22">
        <v>100</v>
      </c>
      <c r="G19" s="23" t="s">
        <v>37</v>
      </c>
    </row>
    <row r="20" spans="1:7" ht="36.6" customHeight="1">
      <c r="A20" s="23" t="s">
        <v>104</v>
      </c>
      <c r="B20" s="23" t="s">
        <v>105</v>
      </c>
      <c r="C20" s="23">
        <v>8</v>
      </c>
      <c r="D20" s="23" t="s">
        <v>249</v>
      </c>
      <c r="E20" s="23" t="s">
        <v>250</v>
      </c>
      <c r="F20" s="22">
        <v>200</v>
      </c>
      <c r="G20" s="23" t="s">
        <v>50</v>
      </c>
    </row>
    <row r="21" spans="1:7" ht="36.6" customHeight="1">
      <c r="A21" s="24">
        <v>4</v>
      </c>
      <c r="B21" s="24" t="s">
        <v>11</v>
      </c>
      <c r="C21" s="24">
        <v>48</v>
      </c>
      <c r="D21" s="25"/>
      <c r="E21" s="25"/>
      <c r="F21" s="24">
        <f>SUM(F22:F26)</f>
        <v>920</v>
      </c>
      <c r="G21" s="25"/>
    </row>
    <row r="22" spans="1:7" ht="36.6" customHeight="1">
      <c r="A22" s="25" t="s">
        <v>108</v>
      </c>
      <c r="B22" s="25" t="s">
        <v>109</v>
      </c>
      <c r="C22" s="25">
        <v>8</v>
      </c>
      <c r="D22" s="25" t="s">
        <v>249</v>
      </c>
      <c r="E22" s="25" t="s">
        <v>250</v>
      </c>
      <c r="F22" s="24">
        <v>200</v>
      </c>
      <c r="G22" s="25" t="s">
        <v>44</v>
      </c>
    </row>
    <row r="23" spans="1:7" ht="36.6" customHeight="1">
      <c r="A23" s="25" t="s">
        <v>113</v>
      </c>
      <c r="B23" s="25" t="s">
        <v>114</v>
      </c>
      <c r="C23" s="25">
        <v>8</v>
      </c>
      <c r="D23" s="25" t="s">
        <v>256</v>
      </c>
      <c r="E23" s="25" t="s">
        <v>257</v>
      </c>
      <c r="F23" s="24">
        <v>80</v>
      </c>
      <c r="G23" s="25" t="s">
        <v>50</v>
      </c>
    </row>
    <row r="24" spans="1:7" ht="36.6" customHeight="1">
      <c r="A24" s="25" t="s">
        <v>118</v>
      </c>
      <c r="B24" s="25" t="s">
        <v>119</v>
      </c>
      <c r="C24" s="25">
        <v>24</v>
      </c>
      <c r="D24" s="25" t="s">
        <v>256</v>
      </c>
      <c r="E24" s="25" t="s">
        <v>257</v>
      </c>
      <c r="F24" s="24">
        <v>240</v>
      </c>
      <c r="G24" s="25" t="s">
        <v>37</v>
      </c>
    </row>
    <row r="25" spans="1:7" ht="36.6" customHeight="1">
      <c r="A25" s="25" t="s">
        <v>124</v>
      </c>
      <c r="B25" s="25" t="s">
        <v>125</v>
      </c>
      <c r="C25" s="25">
        <v>8</v>
      </c>
      <c r="D25" s="25" t="s">
        <v>249</v>
      </c>
      <c r="E25" s="25" t="s">
        <v>250</v>
      </c>
      <c r="F25" s="24">
        <v>200</v>
      </c>
      <c r="G25" s="25" t="s">
        <v>50</v>
      </c>
    </row>
    <row r="26" spans="1:7" ht="36.6" customHeight="1">
      <c r="A26" s="25" t="s">
        <v>129</v>
      </c>
      <c r="B26" s="25" t="s">
        <v>130</v>
      </c>
      <c r="C26" s="25">
        <v>8</v>
      </c>
      <c r="D26" s="25" t="s">
        <v>249</v>
      </c>
      <c r="E26" s="25" t="s">
        <v>250</v>
      </c>
      <c r="F26" s="24">
        <v>200</v>
      </c>
      <c r="G26" s="25" t="s">
        <v>44</v>
      </c>
    </row>
    <row r="27" spans="1:7" ht="36.6" customHeight="1">
      <c r="A27" s="22">
        <v>5</v>
      </c>
      <c r="B27" s="22" t="s">
        <v>12</v>
      </c>
      <c r="C27" s="22">
        <v>24</v>
      </c>
      <c r="D27" s="23"/>
      <c r="E27" s="23"/>
      <c r="F27" s="22">
        <f>SUM(F28:F31)</f>
        <v>600</v>
      </c>
      <c r="G27" s="23"/>
    </row>
    <row r="28" spans="1:7" ht="36.6" customHeight="1">
      <c r="A28" s="23" t="s">
        <v>133</v>
      </c>
      <c r="B28" s="23" t="s">
        <v>134</v>
      </c>
      <c r="C28" s="23">
        <v>4</v>
      </c>
      <c r="D28" s="23" t="s">
        <v>249</v>
      </c>
      <c r="E28" s="23" t="s">
        <v>250</v>
      </c>
      <c r="F28" s="22">
        <v>100</v>
      </c>
      <c r="G28" s="23" t="s">
        <v>50</v>
      </c>
    </row>
    <row r="29" spans="1:7" ht="36.6" customHeight="1">
      <c r="A29" s="23" t="s">
        <v>138</v>
      </c>
      <c r="B29" s="23" t="s">
        <v>139</v>
      </c>
      <c r="C29" s="23">
        <v>8</v>
      </c>
      <c r="D29" s="23" t="s">
        <v>249</v>
      </c>
      <c r="E29" s="23" t="s">
        <v>250</v>
      </c>
      <c r="F29" s="22">
        <v>200</v>
      </c>
      <c r="G29" s="23" t="s">
        <v>44</v>
      </c>
    </row>
    <row r="30" spans="1:7" ht="36.6" customHeight="1">
      <c r="A30" s="23" t="s">
        <v>143</v>
      </c>
      <c r="B30" s="23" t="s">
        <v>144</v>
      </c>
      <c r="C30" s="23">
        <v>8</v>
      </c>
      <c r="D30" s="23" t="s">
        <v>249</v>
      </c>
      <c r="E30" s="23" t="s">
        <v>250</v>
      </c>
      <c r="F30" s="22">
        <v>200</v>
      </c>
      <c r="G30" s="23" t="s">
        <v>37</v>
      </c>
    </row>
    <row r="31" spans="1:7" ht="36.6" customHeight="1">
      <c r="A31" s="23" t="s">
        <v>148</v>
      </c>
      <c r="B31" s="23" t="s">
        <v>149</v>
      </c>
      <c r="C31" s="23">
        <v>4</v>
      </c>
      <c r="D31" s="23" t="s">
        <v>249</v>
      </c>
      <c r="E31" s="23" t="s">
        <v>250</v>
      </c>
      <c r="F31" s="22">
        <v>100</v>
      </c>
      <c r="G31" s="23" t="s">
        <v>44</v>
      </c>
    </row>
    <row r="32" spans="1:7" ht="36.6" customHeight="1">
      <c r="A32" s="24">
        <v>6</v>
      </c>
      <c r="B32" s="24" t="s">
        <v>13</v>
      </c>
      <c r="C32" s="24">
        <v>32</v>
      </c>
      <c r="D32" s="25"/>
      <c r="E32" s="25"/>
      <c r="F32" s="24">
        <f>SUM(F33:F36)</f>
        <v>700</v>
      </c>
      <c r="G32" s="25"/>
    </row>
    <row r="33" spans="1:7" ht="36.6" customHeight="1">
      <c r="A33" s="25" t="s">
        <v>151</v>
      </c>
      <c r="B33" s="25" t="s">
        <v>152</v>
      </c>
      <c r="C33" s="25">
        <v>8</v>
      </c>
      <c r="D33" s="25" t="s">
        <v>249</v>
      </c>
      <c r="E33" s="25" t="s">
        <v>250</v>
      </c>
      <c r="F33" s="24">
        <v>200</v>
      </c>
      <c r="G33" s="25" t="s">
        <v>37</v>
      </c>
    </row>
    <row r="34" spans="1:7" ht="36.6" customHeight="1">
      <c r="A34" s="25" t="s">
        <v>156</v>
      </c>
      <c r="B34" s="25" t="s">
        <v>157</v>
      </c>
      <c r="C34" s="25">
        <v>8</v>
      </c>
      <c r="D34" s="25" t="s">
        <v>249</v>
      </c>
      <c r="E34" s="25" t="s">
        <v>250</v>
      </c>
      <c r="F34" s="24">
        <v>200</v>
      </c>
      <c r="G34" s="25" t="s">
        <v>44</v>
      </c>
    </row>
    <row r="35" spans="1:7" ht="36.6" customHeight="1">
      <c r="A35" s="25" t="s">
        <v>161</v>
      </c>
      <c r="B35" s="25" t="s">
        <v>162</v>
      </c>
      <c r="C35" s="25">
        <v>8</v>
      </c>
      <c r="D35" s="25" t="s">
        <v>258</v>
      </c>
      <c r="E35" s="25" t="s">
        <v>254</v>
      </c>
      <c r="F35" s="24">
        <v>100</v>
      </c>
      <c r="G35" s="25" t="s">
        <v>50</v>
      </c>
    </row>
    <row r="36" spans="1:7" ht="36.6" customHeight="1">
      <c r="A36" s="25" t="s">
        <v>165</v>
      </c>
      <c r="B36" s="25" t="s">
        <v>259</v>
      </c>
      <c r="C36" s="25">
        <v>8</v>
      </c>
      <c r="D36" s="25" t="s">
        <v>249</v>
      </c>
      <c r="E36" s="25" t="s">
        <v>250</v>
      </c>
      <c r="F36" s="24">
        <v>200</v>
      </c>
      <c r="G36" s="25" t="s">
        <v>37</v>
      </c>
    </row>
    <row r="37" spans="1:7" ht="36.6" customHeight="1">
      <c r="A37" s="22">
        <v>7</v>
      </c>
      <c r="B37" s="22" t="s">
        <v>14</v>
      </c>
      <c r="C37" s="22">
        <v>32</v>
      </c>
      <c r="D37" s="23"/>
      <c r="E37" s="23"/>
      <c r="F37" s="22">
        <f>SUM(F38:F41)</f>
        <v>800</v>
      </c>
      <c r="G37" s="23"/>
    </row>
    <row r="38" spans="1:7" ht="36.6" customHeight="1">
      <c r="A38" s="23" t="s">
        <v>170</v>
      </c>
      <c r="B38" s="23" t="s">
        <v>171</v>
      </c>
      <c r="C38" s="23">
        <v>8</v>
      </c>
      <c r="D38" s="23" t="s">
        <v>249</v>
      </c>
      <c r="E38" s="23" t="s">
        <v>250</v>
      </c>
      <c r="F38" s="22">
        <v>200</v>
      </c>
      <c r="G38" s="23" t="s">
        <v>50</v>
      </c>
    </row>
    <row r="39" spans="1:7" ht="36.6" customHeight="1">
      <c r="A39" s="23" t="s">
        <v>175</v>
      </c>
      <c r="B39" s="23" t="s">
        <v>176</v>
      </c>
      <c r="C39" s="23">
        <v>8</v>
      </c>
      <c r="D39" s="23" t="s">
        <v>249</v>
      </c>
      <c r="E39" s="23" t="s">
        <v>250</v>
      </c>
      <c r="F39" s="22">
        <v>200</v>
      </c>
      <c r="G39" s="23" t="s">
        <v>44</v>
      </c>
    </row>
    <row r="40" spans="1:7" ht="36.6" customHeight="1">
      <c r="A40" s="23" t="s">
        <v>179</v>
      </c>
      <c r="B40" s="23" t="s">
        <v>180</v>
      </c>
      <c r="C40" s="23">
        <v>8</v>
      </c>
      <c r="D40" s="23" t="s">
        <v>249</v>
      </c>
      <c r="E40" s="23" t="s">
        <v>250</v>
      </c>
      <c r="F40" s="22">
        <v>200</v>
      </c>
      <c r="G40" s="23" t="s">
        <v>50</v>
      </c>
    </row>
    <row r="41" spans="1:7" ht="36.6" customHeight="1">
      <c r="A41" s="23" t="s">
        <v>184</v>
      </c>
      <c r="B41" s="23" t="s">
        <v>185</v>
      </c>
      <c r="C41" s="23">
        <v>8</v>
      </c>
      <c r="D41" s="23" t="s">
        <v>249</v>
      </c>
      <c r="E41" s="23" t="s">
        <v>250</v>
      </c>
      <c r="F41" s="22">
        <v>200</v>
      </c>
      <c r="G41" s="23" t="s">
        <v>37</v>
      </c>
    </row>
    <row r="42" spans="1:7" ht="36.6" customHeight="1">
      <c r="A42" s="24">
        <v>8</v>
      </c>
      <c r="B42" s="24" t="s">
        <v>15</v>
      </c>
      <c r="C42" s="24">
        <v>48</v>
      </c>
      <c r="D42" s="25"/>
      <c r="E42" s="25"/>
      <c r="F42" s="26">
        <f>SUM(F43:F46)</f>
        <v>1200</v>
      </c>
      <c r="G42" s="25"/>
    </row>
    <row r="43" spans="1:7" ht="36.6" customHeight="1">
      <c r="A43" s="25" t="s">
        <v>189</v>
      </c>
      <c r="B43" s="25" t="s">
        <v>190</v>
      </c>
      <c r="C43" s="25">
        <v>24</v>
      </c>
      <c r="D43" s="25" t="s">
        <v>249</v>
      </c>
      <c r="E43" s="25" t="s">
        <v>250</v>
      </c>
      <c r="F43" s="24">
        <v>600</v>
      </c>
      <c r="G43" s="25" t="s">
        <v>44</v>
      </c>
    </row>
    <row r="44" spans="1:7" ht="36.6" customHeight="1">
      <c r="A44" s="25" t="s">
        <v>194</v>
      </c>
      <c r="B44" s="25" t="s">
        <v>195</v>
      </c>
      <c r="C44" s="25">
        <v>8</v>
      </c>
      <c r="D44" s="25" t="s">
        <v>249</v>
      </c>
      <c r="E44" s="25" t="s">
        <v>250</v>
      </c>
      <c r="F44" s="24">
        <v>200</v>
      </c>
      <c r="G44" s="25" t="s">
        <v>50</v>
      </c>
    </row>
    <row r="45" spans="1:7" ht="36.6" customHeight="1">
      <c r="A45" s="25" t="s">
        <v>199</v>
      </c>
      <c r="B45" s="25" t="s">
        <v>200</v>
      </c>
      <c r="C45" s="25">
        <v>8</v>
      </c>
      <c r="D45" s="25" t="s">
        <v>249</v>
      </c>
      <c r="E45" s="25" t="s">
        <v>250</v>
      </c>
      <c r="F45" s="24">
        <v>200</v>
      </c>
      <c r="G45" s="25" t="s">
        <v>203</v>
      </c>
    </row>
    <row r="46" spans="1:7" ht="36.6" customHeight="1">
      <c r="A46" s="25" t="s">
        <v>205</v>
      </c>
      <c r="B46" s="25" t="s">
        <v>206</v>
      </c>
      <c r="C46" s="25">
        <v>8</v>
      </c>
      <c r="D46" s="25" t="s">
        <v>249</v>
      </c>
      <c r="E46" s="25" t="s">
        <v>250</v>
      </c>
      <c r="F46" s="24">
        <v>200</v>
      </c>
      <c r="G46" s="25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7D44-6E69-4EE2-A0B2-52DEC3D9A7FB}">
  <dimension ref="A1:H39"/>
  <sheetViews>
    <sheetView topLeftCell="A5" workbookViewId="0">
      <selection activeCell="F2" sqref="F2"/>
    </sheetView>
  </sheetViews>
  <sheetFormatPr defaultRowHeight="15.6"/>
  <cols>
    <col min="7" max="7" width="8.796875" customWidth="1"/>
  </cols>
  <sheetData>
    <row r="1" spans="1:8" ht="47.4" thickBot="1">
      <c r="A1" s="14" t="s">
        <v>26</v>
      </c>
      <c r="B1" s="14" t="s">
        <v>243</v>
      </c>
      <c r="C1" s="14" t="s">
        <v>244</v>
      </c>
      <c r="D1" s="14" t="s">
        <v>260</v>
      </c>
      <c r="E1" s="14" t="s">
        <v>246</v>
      </c>
      <c r="F1" s="14" t="s">
        <v>247</v>
      </c>
      <c r="G1" s="7" t="s">
        <v>30</v>
      </c>
    </row>
    <row r="2" spans="1:8" ht="31.8" thickBot="1">
      <c r="A2" s="14" t="s">
        <v>261</v>
      </c>
      <c r="B2" s="15"/>
      <c r="C2" s="14">
        <v>328</v>
      </c>
      <c r="D2" s="15"/>
      <c r="E2" s="15"/>
      <c r="F2" s="20">
        <v>6140</v>
      </c>
    </row>
    <row r="3" spans="1:8" ht="60.6" thickBot="1">
      <c r="A3" s="15" t="s">
        <v>33</v>
      </c>
      <c r="B3" s="15" t="s">
        <v>34</v>
      </c>
      <c r="C3" s="15">
        <v>4</v>
      </c>
      <c r="D3" s="15" t="s">
        <v>249</v>
      </c>
      <c r="E3" s="15" t="s">
        <v>250</v>
      </c>
      <c r="F3" s="14">
        <v>100</v>
      </c>
      <c r="G3" s="9" t="s">
        <v>37</v>
      </c>
      <c r="H3">
        <f>SUM(F3:F39)</f>
        <v>7040</v>
      </c>
    </row>
    <row r="4" spans="1:8" ht="75.599999999999994" thickBot="1">
      <c r="A4" s="15" t="s">
        <v>40</v>
      </c>
      <c r="B4" s="15" t="s">
        <v>41</v>
      </c>
      <c r="C4" s="15">
        <v>4</v>
      </c>
      <c r="D4" s="15" t="s">
        <v>249</v>
      </c>
      <c r="E4" s="15" t="s">
        <v>250</v>
      </c>
      <c r="F4" s="14">
        <v>100</v>
      </c>
      <c r="G4" s="9" t="s">
        <v>44</v>
      </c>
    </row>
    <row r="5" spans="1:8" ht="90.6" thickBot="1">
      <c r="A5" s="15" t="s">
        <v>46</v>
      </c>
      <c r="B5" s="15" t="s">
        <v>47</v>
      </c>
      <c r="C5" s="15">
        <v>4</v>
      </c>
      <c r="D5" s="15" t="s">
        <v>249</v>
      </c>
      <c r="E5" s="15" t="s">
        <v>250</v>
      </c>
      <c r="F5" s="14">
        <v>100</v>
      </c>
      <c r="G5" s="9" t="s">
        <v>50</v>
      </c>
    </row>
    <row r="6" spans="1:8" ht="90.6" thickBot="1">
      <c r="A6" s="15" t="s">
        <v>52</v>
      </c>
      <c r="B6" s="15" t="s">
        <v>53</v>
      </c>
      <c r="C6" s="15">
        <v>4</v>
      </c>
      <c r="D6" s="15" t="s">
        <v>249</v>
      </c>
      <c r="E6" s="15" t="s">
        <v>250</v>
      </c>
      <c r="F6" s="14">
        <v>100</v>
      </c>
      <c r="G6" s="9" t="s">
        <v>44</v>
      </c>
    </row>
    <row r="7" spans="1:8" ht="60.6" thickBot="1">
      <c r="A7" s="15" t="s">
        <v>57</v>
      </c>
      <c r="B7" s="15" t="s">
        <v>58</v>
      </c>
      <c r="C7" s="15">
        <v>8</v>
      </c>
      <c r="D7" s="15" t="s">
        <v>249</v>
      </c>
      <c r="E7" s="15" t="s">
        <v>250</v>
      </c>
      <c r="F7" s="14">
        <v>200</v>
      </c>
      <c r="G7" s="9" t="s">
        <v>44</v>
      </c>
    </row>
    <row r="8" spans="1:8" ht="75.599999999999994" thickBot="1">
      <c r="A8" s="15" t="s">
        <v>62</v>
      </c>
      <c r="B8" s="15" t="s">
        <v>63</v>
      </c>
      <c r="C8" s="15">
        <v>8</v>
      </c>
      <c r="D8" s="15" t="s">
        <v>251</v>
      </c>
      <c r="E8" s="15" t="s">
        <v>252</v>
      </c>
      <c r="F8" s="14">
        <v>240</v>
      </c>
      <c r="G8" s="9" t="s">
        <v>50</v>
      </c>
    </row>
    <row r="9" spans="1:8" ht="75.599999999999994" thickBot="1">
      <c r="A9" s="15" t="s">
        <v>67</v>
      </c>
      <c r="B9" s="15" t="s">
        <v>68</v>
      </c>
      <c r="C9" s="15">
        <v>8</v>
      </c>
      <c r="D9" s="15" t="s">
        <v>253</v>
      </c>
      <c r="E9" s="15" t="s">
        <v>254</v>
      </c>
      <c r="F9" s="14">
        <v>100</v>
      </c>
      <c r="G9" s="9" t="s">
        <v>37</v>
      </c>
    </row>
    <row r="10" spans="1:8" ht="75.599999999999994" thickBot="1">
      <c r="A10" s="15" t="s">
        <v>70</v>
      </c>
      <c r="B10" s="15" t="s">
        <v>71</v>
      </c>
      <c r="C10" s="15">
        <v>16</v>
      </c>
      <c r="D10" s="15" t="s">
        <v>251</v>
      </c>
      <c r="E10" s="15" t="s">
        <v>252</v>
      </c>
      <c r="F10" s="14">
        <v>480</v>
      </c>
      <c r="G10" s="9" t="s">
        <v>50</v>
      </c>
    </row>
    <row r="11" spans="1:8" ht="75.599999999999994" thickBot="1">
      <c r="A11" s="15" t="s">
        <v>75</v>
      </c>
      <c r="B11" s="15" t="s">
        <v>76</v>
      </c>
      <c r="C11" s="15">
        <v>8</v>
      </c>
      <c r="D11" s="15" t="s">
        <v>249</v>
      </c>
      <c r="E11" s="15" t="s">
        <v>250</v>
      </c>
      <c r="F11" s="14">
        <v>200</v>
      </c>
      <c r="G11" s="9" t="s">
        <v>44</v>
      </c>
    </row>
    <row r="12" spans="1:8" ht="75.599999999999994" thickBot="1">
      <c r="A12" s="15" t="s">
        <v>79</v>
      </c>
      <c r="B12" s="15" t="s">
        <v>80</v>
      </c>
      <c r="C12" s="15">
        <v>8</v>
      </c>
      <c r="D12" s="15" t="s">
        <v>249</v>
      </c>
      <c r="E12" s="15" t="s">
        <v>250</v>
      </c>
      <c r="F12" s="14">
        <v>200</v>
      </c>
      <c r="G12" s="9" t="s">
        <v>44</v>
      </c>
    </row>
    <row r="13" spans="1:8" ht="75.599999999999994" thickBot="1">
      <c r="A13" s="15" t="s">
        <v>81</v>
      </c>
      <c r="B13" s="15" t="s">
        <v>82</v>
      </c>
      <c r="C13" s="15">
        <v>8</v>
      </c>
      <c r="D13" s="15" t="s">
        <v>249</v>
      </c>
      <c r="E13" s="15" t="s">
        <v>250</v>
      </c>
      <c r="F13" s="14">
        <v>200</v>
      </c>
      <c r="G13" s="9" t="s">
        <v>50</v>
      </c>
    </row>
    <row r="14" spans="1:8" ht="90.6" thickBot="1">
      <c r="A14" s="15" t="s">
        <v>85</v>
      </c>
      <c r="B14" s="15" t="s">
        <v>86</v>
      </c>
      <c r="C14" s="15">
        <v>8</v>
      </c>
      <c r="D14" s="15" t="s">
        <v>249</v>
      </c>
      <c r="E14" s="15" t="s">
        <v>250</v>
      </c>
      <c r="F14" s="14">
        <v>200</v>
      </c>
      <c r="G14" s="9" t="s">
        <v>44</v>
      </c>
    </row>
    <row r="15" spans="1:8" ht="75.599999999999994" thickBot="1">
      <c r="A15" s="15" t="s">
        <v>90</v>
      </c>
      <c r="B15" s="15" t="s">
        <v>91</v>
      </c>
      <c r="C15" s="15">
        <v>8</v>
      </c>
      <c r="D15" s="15" t="s">
        <v>249</v>
      </c>
      <c r="E15" s="15" t="s">
        <v>250</v>
      </c>
      <c r="F15" s="14">
        <v>200</v>
      </c>
      <c r="G15" s="9" t="s">
        <v>44</v>
      </c>
    </row>
    <row r="16" spans="1:8" ht="60.6" thickBot="1">
      <c r="A16" s="15" t="s">
        <v>95</v>
      </c>
      <c r="B16" s="15" t="s">
        <v>96</v>
      </c>
      <c r="C16" s="15">
        <v>4</v>
      </c>
      <c r="D16" s="15" t="s">
        <v>255</v>
      </c>
      <c r="E16" s="15" t="s">
        <v>254</v>
      </c>
      <c r="F16" s="14">
        <v>100</v>
      </c>
      <c r="G16" s="9" t="s">
        <v>37</v>
      </c>
    </row>
    <row r="17" spans="1:7" ht="90.6" thickBot="1">
      <c r="A17" s="15" t="s">
        <v>99</v>
      </c>
      <c r="B17" s="15" t="s">
        <v>100</v>
      </c>
      <c r="C17" s="15">
        <v>4</v>
      </c>
      <c r="D17" s="15" t="s">
        <v>249</v>
      </c>
      <c r="E17" s="15" t="s">
        <v>250</v>
      </c>
      <c r="F17" s="14">
        <v>100</v>
      </c>
      <c r="G17" s="9" t="s">
        <v>37</v>
      </c>
    </row>
    <row r="18" spans="1:7" ht="90.6" thickBot="1">
      <c r="A18" s="15" t="s">
        <v>104</v>
      </c>
      <c r="B18" s="15" t="s">
        <v>105</v>
      </c>
      <c r="C18" s="15">
        <v>8</v>
      </c>
      <c r="D18" s="15" t="s">
        <v>249</v>
      </c>
      <c r="E18" s="15" t="s">
        <v>250</v>
      </c>
      <c r="F18" s="14">
        <v>200</v>
      </c>
      <c r="G18" s="9" t="s">
        <v>50</v>
      </c>
    </row>
    <row r="19" spans="1:7" ht="45.6" thickBot="1">
      <c r="A19" s="15" t="s">
        <v>108</v>
      </c>
      <c r="B19" s="15" t="s">
        <v>109</v>
      </c>
      <c r="C19" s="15">
        <v>8</v>
      </c>
      <c r="D19" s="15" t="s">
        <v>249</v>
      </c>
      <c r="E19" s="15" t="s">
        <v>250</v>
      </c>
      <c r="F19" s="14">
        <v>200</v>
      </c>
      <c r="G19" s="9" t="s">
        <v>44</v>
      </c>
    </row>
    <row r="20" spans="1:7" ht="60.6" thickBot="1">
      <c r="A20" s="15" t="s">
        <v>113</v>
      </c>
      <c r="B20" s="15" t="s">
        <v>114</v>
      </c>
      <c r="C20" s="15">
        <v>8</v>
      </c>
      <c r="D20" s="15" t="s">
        <v>256</v>
      </c>
      <c r="E20" s="15" t="s">
        <v>257</v>
      </c>
      <c r="F20" s="14">
        <v>80</v>
      </c>
      <c r="G20" s="9" t="s">
        <v>50</v>
      </c>
    </row>
    <row r="21" spans="1:7" ht="105.6" thickBot="1">
      <c r="A21" s="15" t="s">
        <v>118</v>
      </c>
      <c r="B21" s="15" t="s">
        <v>119</v>
      </c>
      <c r="C21" s="15">
        <v>24</v>
      </c>
      <c r="D21" s="15" t="s">
        <v>256</v>
      </c>
      <c r="E21" s="15" t="s">
        <v>257</v>
      </c>
      <c r="F21" s="14">
        <v>240</v>
      </c>
      <c r="G21" s="9" t="s">
        <v>37</v>
      </c>
    </row>
    <row r="22" spans="1:7" ht="60.6" thickBot="1">
      <c r="A22" s="15" t="s">
        <v>124</v>
      </c>
      <c r="B22" s="15" t="s">
        <v>125</v>
      </c>
      <c r="C22" s="15">
        <v>8</v>
      </c>
      <c r="D22" s="15" t="s">
        <v>249</v>
      </c>
      <c r="E22" s="15" t="s">
        <v>250</v>
      </c>
      <c r="F22" s="14">
        <v>200</v>
      </c>
      <c r="G22" s="9" t="s">
        <v>50</v>
      </c>
    </row>
    <row r="23" spans="1:7" ht="75.599999999999994" thickBot="1">
      <c r="A23" s="15" t="s">
        <v>129</v>
      </c>
      <c r="B23" s="15" t="s">
        <v>130</v>
      </c>
      <c r="C23" s="15">
        <v>8</v>
      </c>
      <c r="D23" s="15" t="s">
        <v>249</v>
      </c>
      <c r="E23" s="15" t="s">
        <v>250</v>
      </c>
      <c r="F23" s="14">
        <v>200</v>
      </c>
      <c r="G23" s="9" t="s">
        <v>44</v>
      </c>
    </row>
    <row r="24" spans="1:7" ht="105.6" thickBot="1">
      <c r="A24" s="15" t="s">
        <v>133</v>
      </c>
      <c r="B24" s="15" t="s">
        <v>134</v>
      </c>
      <c r="C24" s="15">
        <v>4</v>
      </c>
      <c r="D24" s="15" t="s">
        <v>249</v>
      </c>
      <c r="E24" s="15" t="s">
        <v>250</v>
      </c>
      <c r="F24" s="14">
        <v>100</v>
      </c>
      <c r="G24" s="9" t="s">
        <v>50</v>
      </c>
    </row>
    <row r="25" spans="1:7" ht="75.599999999999994" thickBot="1">
      <c r="A25" s="15" t="s">
        <v>138</v>
      </c>
      <c r="B25" s="15" t="s">
        <v>139</v>
      </c>
      <c r="C25" s="15">
        <v>8</v>
      </c>
      <c r="D25" s="15" t="s">
        <v>249</v>
      </c>
      <c r="E25" s="15" t="s">
        <v>250</v>
      </c>
      <c r="F25" s="14">
        <v>200</v>
      </c>
      <c r="G25" s="9" t="s">
        <v>44</v>
      </c>
    </row>
    <row r="26" spans="1:7" ht="60.6" thickBot="1">
      <c r="A26" s="15" t="s">
        <v>143</v>
      </c>
      <c r="B26" s="15" t="s">
        <v>144</v>
      </c>
      <c r="C26" s="15">
        <v>8</v>
      </c>
      <c r="D26" s="15" t="s">
        <v>249</v>
      </c>
      <c r="E26" s="15" t="s">
        <v>250</v>
      </c>
      <c r="F26" s="14">
        <v>200</v>
      </c>
      <c r="G26" s="9" t="s">
        <v>37</v>
      </c>
    </row>
    <row r="27" spans="1:7" ht="75.599999999999994" thickBot="1">
      <c r="A27" s="15" t="s">
        <v>148</v>
      </c>
      <c r="B27" s="15" t="s">
        <v>149</v>
      </c>
      <c r="C27" s="15">
        <v>4</v>
      </c>
      <c r="D27" s="15" t="s">
        <v>249</v>
      </c>
      <c r="E27" s="15" t="s">
        <v>250</v>
      </c>
      <c r="F27" s="14">
        <v>100</v>
      </c>
      <c r="G27" s="9" t="s">
        <v>44</v>
      </c>
    </row>
    <row r="28" spans="1:7" ht="90.6" thickBot="1">
      <c r="A28" s="15" t="s">
        <v>151</v>
      </c>
      <c r="B28" s="15" t="s">
        <v>152</v>
      </c>
      <c r="C28" s="15">
        <v>8</v>
      </c>
      <c r="D28" s="15" t="s">
        <v>249</v>
      </c>
      <c r="E28" s="15" t="s">
        <v>250</v>
      </c>
      <c r="F28" s="14">
        <v>200</v>
      </c>
      <c r="G28" s="9" t="s">
        <v>37</v>
      </c>
    </row>
    <row r="29" spans="1:7" ht="105.6" thickBot="1">
      <c r="A29" s="15" t="s">
        <v>156</v>
      </c>
      <c r="B29" s="15" t="s">
        <v>157</v>
      </c>
      <c r="C29" s="15">
        <v>8</v>
      </c>
      <c r="D29" s="15" t="s">
        <v>249</v>
      </c>
      <c r="E29" s="15" t="s">
        <v>250</v>
      </c>
      <c r="F29" s="14">
        <v>200</v>
      </c>
      <c r="G29" s="9" t="s">
        <v>44</v>
      </c>
    </row>
    <row r="30" spans="1:7" ht="60.6" thickBot="1">
      <c r="A30" s="15" t="s">
        <v>161</v>
      </c>
      <c r="B30" s="15" t="s">
        <v>162</v>
      </c>
      <c r="C30" s="15">
        <v>8</v>
      </c>
      <c r="D30" s="15" t="s">
        <v>258</v>
      </c>
      <c r="E30" s="15" t="s">
        <v>254</v>
      </c>
      <c r="F30" s="14">
        <v>100</v>
      </c>
      <c r="G30" s="9" t="s">
        <v>50</v>
      </c>
    </row>
    <row r="31" spans="1:7" ht="75.599999999999994" thickBot="1">
      <c r="A31" s="15" t="s">
        <v>165</v>
      </c>
      <c r="B31" s="15" t="s">
        <v>259</v>
      </c>
      <c r="C31" s="15">
        <v>8</v>
      </c>
      <c r="D31" s="15" t="s">
        <v>249</v>
      </c>
      <c r="E31" s="15" t="s">
        <v>250</v>
      </c>
      <c r="F31" s="14">
        <v>200</v>
      </c>
      <c r="G31" s="9" t="s">
        <v>37</v>
      </c>
    </row>
    <row r="32" spans="1:7" ht="60.6" thickBot="1">
      <c r="A32" s="15" t="s">
        <v>170</v>
      </c>
      <c r="B32" s="15" t="s">
        <v>171</v>
      </c>
      <c r="C32" s="15">
        <v>8</v>
      </c>
      <c r="D32" s="15" t="s">
        <v>249</v>
      </c>
      <c r="E32" s="15" t="s">
        <v>250</v>
      </c>
      <c r="F32" s="14">
        <v>200</v>
      </c>
      <c r="G32" s="9" t="s">
        <v>50</v>
      </c>
    </row>
    <row r="33" spans="1:7" ht="75.599999999999994" thickBot="1">
      <c r="A33" s="15" t="s">
        <v>175</v>
      </c>
      <c r="B33" s="15" t="s">
        <v>176</v>
      </c>
      <c r="C33" s="15">
        <v>8</v>
      </c>
      <c r="D33" s="15" t="s">
        <v>249</v>
      </c>
      <c r="E33" s="15" t="s">
        <v>250</v>
      </c>
      <c r="F33" s="14">
        <v>200</v>
      </c>
      <c r="G33" s="9" t="s">
        <v>44</v>
      </c>
    </row>
    <row r="34" spans="1:7" ht="90.6" thickBot="1">
      <c r="A34" s="15" t="s">
        <v>179</v>
      </c>
      <c r="B34" s="15" t="s">
        <v>180</v>
      </c>
      <c r="C34" s="15">
        <v>8</v>
      </c>
      <c r="D34" s="15" t="s">
        <v>249</v>
      </c>
      <c r="E34" s="15" t="s">
        <v>250</v>
      </c>
      <c r="F34" s="14">
        <v>200</v>
      </c>
      <c r="G34" s="9" t="s">
        <v>50</v>
      </c>
    </row>
    <row r="35" spans="1:7" ht="75.599999999999994" thickBot="1">
      <c r="A35" s="15" t="s">
        <v>184</v>
      </c>
      <c r="B35" s="15" t="s">
        <v>185</v>
      </c>
      <c r="C35" s="15">
        <v>8</v>
      </c>
      <c r="D35" s="15" t="s">
        <v>249</v>
      </c>
      <c r="E35" s="15" t="s">
        <v>250</v>
      </c>
      <c r="F35" s="14">
        <v>200</v>
      </c>
      <c r="G35" s="9" t="s">
        <v>37</v>
      </c>
    </row>
    <row r="36" spans="1:7" ht="75.599999999999994" thickBot="1">
      <c r="A36" s="15" t="s">
        <v>189</v>
      </c>
      <c r="B36" s="15" t="s">
        <v>190</v>
      </c>
      <c r="C36" s="15">
        <v>24</v>
      </c>
      <c r="D36" s="15" t="s">
        <v>249</v>
      </c>
      <c r="E36" s="15" t="s">
        <v>250</v>
      </c>
      <c r="F36" s="14">
        <v>600</v>
      </c>
      <c r="G36" s="9" t="s">
        <v>44</v>
      </c>
    </row>
    <row r="37" spans="1:7" ht="75.599999999999994" thickBot="1">
      <c r="A37" s="15" t="s">
        <v>194</v>
      </c>
      <c r="B37" s="15" t="s">
        <v>195</v>
      </c>
      <c r="C37" s="15">
        <v>8</v>
      </c>
      <c r="D37" s="15" t="s">
        <v>249</v>
      </c>
      <c r="E37" s="15" t="s">
        <v>250</v>
      </c>
      <c r="F37" s="14">
        <v>200</v>
      </c>
      <c r="G37" s="9" t="s">
        <v>50</v>
      </c>
    </row>
    <row r="38" spans="1:7" ht="45.6" thickBot="1">
      <c r="A38" s="15" t="s">
        <v>199</v>
      </c>
      <c r="B38" s="15" t="s">
        <v>200</v>
      </c>
      <c r="C38" s="15">
        <v>8</v>
      </c>
      <c r="D38" s="15" t="s">
        <v>249</v>
      </c>
      <c r="E38" s="15" t="s">
        <v>250</v>
      </c>
      <c r="F38" s="14">
        <v>200</v>
      </c>
      <c r="G38" s="9" t="s">
        <v>203</v>
      </c>
    </row>
    <row r="39" spans="1:7" ht="60.6" thickBot="1">
      <c r="A39" s="15" t="s">
        <v>205</v>
      </c>
      <c r="B39" s="15" t="s">
        <v>206</v>
      </c>
      <c r="C39" s="15">
        <v>8</v>
      </c>
      <c r="D39" s="15" t="s">
        <v>249</v>
      </c>
      <c r="E39" s="15" t="s">
        <v>250</v>
      </c>
      <c r="F39" s="14">
        <v>200</v>
      </c>
      <c r="G39" s="9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B9E7-2C6C-4177-BDCB-DB26E11A1CA8}">
  <dimension ref="A1:G38"/>
  <sheetViews>
    <sheetView topLeftCell="A6" zoomScale="80" workbookViewId="0">
      <selection activeCell="D40" sqref="D40"/>
    </sheetView>
  </sheetViews>
  <sheetFormatPr defaultRowHeight="15.6"/>
  <cols>
    <col min="1" max="1" width="11.69921875" style="16" customWidth="1"/>
    <col min="2" max="2" width="31" customWidth="1"/>
    <col min="3" max="3" width="39.296875" customWidth="1"/>
    <col min="4" max="4" width="31" customWidth="1"/>
    <col min="5" max="5" width="23.5" style="8" customWidth="1"/>
    <col min="6" max="6" width="24.19921875" style="8" customWidth="1"/>
    <col min="7" max="7" width="31" customWidth="1"/>
  </cols>
  <sheetData>
    <row r="1" spans="1:7" ht="62.4" customHeight="1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</row>
    <row r="2" spans="1:7" ht="62.4" customHeight="1">
      <c r="A2" s="18" t="s">
        <v>33</v>
      </c>
      <c r="B2" s="18" t="s">
        <v>34</v>
      </c>
      <c r="C2" s="18" t="s">
        <v>227</v>
      </c>
      <c r="D2" s="18" t="s">
        <v>36</v>
      </c>
      <c r="E2" s="18" t="s">
        <v>37</v>
      </c>
      <c r="F2" s="18" t="s">
        <v>38</v>
      </c>
      <c r="G2" s="18" t="s">
        <v>39</v>
      </c>
    </row>
    <row r="3" spans="1:7" ht="62.4" customHeight="1">
      <c r="A3" s="18" t="s">
        <v>40</v>
      </c>
      <c r="B3" s="18" t="s">
        <v>41</v>
      </c>
      <c r="C3" s="18" t="s">
        <v>42</v>
      </c>
      <c r="D3" s="18" t="s">
        <v>43</v>
      </c>
      <c r="E3" s="18" t="s">
        <v>44</v>
      </c>
      <c r="F3" s="18" t="s">
        <v>38</v>
      </c>
      <c r="G3" s="18" t="s">
        <v>45</v>
      </c>
    </row>
    <row r="4" spans="1:7" ht="62.4" customHeight="1">
      <c r="A4" s="18" t="s">
        <v>46</v>
      </c>
      <c r="B4" s="18" t="s">
        <v>47</v>
      </c>
      <c r="C4" s="18" t="s">
        <v>48</v>
      </c>
      <c r="D4" s="18" t="s">
        <v>49</v>
      </c>
      <c r="E4" s="18" t="s">
        <v>50</v>
      </c>
      <c r="F4" s="18" t="s">
        <v>38</v>
      </c>
      <c r="G4" s="18" t="s">
        <v>51</v>
      </c>
    </row>
    <row r="5" spans="1:7" ht="62.4" customHeight="1">
      <c r="A5" s="18" t="s">
        <v>52</v>
      </c>
      <c r="B5" s="18" t="s">
        <v>53</v>
      </c>
      <c r="C5" s="18" t="s">
        <v>262</v>
      </c>
      <c r="D5" s="18" t="s">
        <v>55</v>
      </c>
      <c r="E5" s="18" t="s">
        <v>44</v>
      </c>
      <c r="F5" s="18" t="s">
        <v>38</v>
      </c>
      <c r="G5" s="18" t="s">
        <v>56</v>
      </c>
    </row>
    <row r="6" spans="1:7" ht="62.4" customHeight="1">
      <c r="A6" s="18" t="s">
        <v>57</v>
      </c>
      <c r="B6" s="18" t="s">
        <v>58</v>
      </c>
      <c r="C6" s="18" t="s">
        <v>228</v>
      </c>
      <c r="D6" s="18" t="s">
        <v>226</v>
      </c>
      <c r="E6" s="18" t="s">
        <v>44</v>
      </c>
      <c r="F6" s="18" t="s">
        <v>60</v>
      </c>
      <c r="G6" s="18" t="s">
        <v>61</v>
      </c>
    </row>
    <row r="7" spans="1:7" ht="62.4" customHeight="1">
      <c r="A7" s="18" t="s">
        <v>62</v>
      </c>
      <c r="B7" s="18" t="s">
        <v>63</v>
      </c>
      <c r="C7" s="18" t="s">
        <v>229</v>
      </c>
      <c r="D7" s="18" t="s">
        <v>65</v>
      </c>
      <c r="E7" s="18" t="s">
        <v>50</v>
      </c>
      <c r="F7" s="18" t="s">
        <v>60</v>
      </c>
      <c r="G7" s="18" t="s">
        <v>66</v>
      </c>
    </row>
    <row r="8" spans="1:7" ht="62.4" customHeight="1">
      <c r="A8" s="18" t="s">
        <v>67</v>
      </c>
      <c r="B8" s="18" t="s">
        <v>68</v>
      </c>
      <c r="C8" s="18" t="s">
        <v>230</v>
      </c>
      <c r="D8" s="19" t="s">
        <v>231</v>
      </c>
      <c r="E8" s="18" t="s">
        <v>37</v>
      </c>
      <c r="F8" s="18" t="s">
        <v>60</v>
      </c>
      <c r="G8" s="18" t="s">
        <v>216</v>
      </c>
    </row>
    <row r="9" spans="1:7" ht="62.4" customHeight="1">
      <c r="A9" s="18" t="s">
        <v>70</v>
      </c>
      <c r="B9" s="18" t="s">
        <v>71</v>
      </c>
      <c r="C9" s="18" t="s">
        <v>232</v>
      </c>
      <c r="D9" s="18" t="s">
        <v>233</v>
      </c>
      <c r="E9" s="18" t="s">
        <v>50</v>
      </c>
      <c r="F9" s="18" t="s">
        <v>73</v>
      </c>
      <c r="G9" s="18" t="s">
        <v>74</v>
      </c>
    </row>
    <row r="10" spans="1:7" ht="62.4" customHeight="1">
      <c r="A10" s="18" t="s">
        <v>75</v>
      </c>
      <c r="B10" s="18" t="s">
        <v>76</v>
      </c>
      <c r="C10" s="18" t="s">
        <v>263</v>
      </c>
      <c r="D10" s="18" t="s">
        <v>77</v>
      </c>
      <c r="E10" s="18" t="s">
        <v>44</v>
      </c>
      <c r="F10" s="18" t="s">
        <v>60</v>
      </c>
      <c r="G10" s="18" t="s">
        <v>78</v>
      </c>
    </row>
    <row r="11" spans="1:7" ht="62.4" customHeight="1">
      <c r="A11" s="18" t="s">
        <v>79</v>
      </c>
      <c r="B11" s="18" t="s">
        <v>80</v>
      </c>
      <c r="C11" s="18" t="s">
        <v>264</v>
      </c>
      <c r="D11" s="19" t="s">
        <v>234</v>
      </c>
      <c r="E11" s="18" t="s">
        <v>44</v>
      </c>
      <c r="F11" s="18" t="s">
        <v>60</v>
      </c>
      <c r="G11" s="18" t="s">
        <v>217</v>
      </c>
    </row>
    <row r="12" spans="1:7" ht="62.4" customHeight="1">
      <c r="A12" s="18" t="s">
        <v>81</v>
      </c>
      <c r="B12" s="18" t="s">
        <v>82</v>
      </c>
      <c r="C12" s="18" t="s">
        <v>235</v>
      </c>
      <c r="D12" s="18" t="s">
        <v>236</v>
      </c>
      <c r="E12" s="18" t="s">
        <v>50</v>
      </c>
      <c r="F12" s="18" t="s">
        <v>60</v>
      </c>
      <c r="G12" s="18" t="s">
        <v>84</v>
      </c>
    </row>
    <row r="13" spans="1:7" ht="62.4" customHeight="1">
      <c r="A13" s="18" t="s">
        <v>85</v>
      </c>
      <c r="B13" s="18" t="s">
        <v>86</v>
      </c>
      <c r="C13" s="18" t="s">
        <v>237</v>
      </c>
      <c r="D13" s="18" t="s">
        <v>88</v>
      </c>
      <c r="E13" s="18" t="s">
        <v>44</v>
      </c>
      <c r="F13" s="18" t="s">
        <v>60</v>
      </c>
      <c r="G13" s="18" t="s">
        <v>89</v>
      </c>
    </row>
    <row r="14" spans="1:7" ht="62.4" customHeight="1">
      <c r="A14" s="18" t="s">
        <v>90</v>
      </c>
      <c r="B14" s="18" t="s">
        <v>91</v>
      </c>
      <c r="C14" s="18" t="s">
        <v>92</v>
      </c>
      <c r="D14" s="18" t="s">
        <v>93</v>
      </c>
      <c r="E14" s="18" t="s">
        <v>44</v>
      </c>
      <c r="F14" s="18" t="s">
        <v>60</v>
      </c>
      <c r="G14" s="18" t="s">
        <v>94</v>
      </c>
    </row>
    <row r="15" spans="1:7" ht="62.4" customHeight="1">
      <c r="A15" s="18" t="s">
        <v>95</v>
      </c>
      <c r="B15" s="18" t="s">
        <v>96</v>
      </c>
      <c r="C15" s="18" t="s">
        <v>97</v>
      </c>
      <c r="D15" s="18" t="s">
        <v>238</v>
      </c>
      <c r="E15" s="18" t="s">
        <v>37</v>
      </c>
      <c r="F15" s="18" t="s">
        <v>38</v>
      </c>
      <c r="G15" s="18" t="s">
        <v>98</v>
      </c>
    </row>
    <row r="16" spans="1:7" ht="62.4" customHeight="1">
      <c r="A16" s="18" t="s">
        <v>99</v>
      </c>
      <c r="B16" s="18" t="s">
        <v>100</v>
      </c>
      <c r="C16" s="18" t="s">
        <v>101</v>
      </c>
      <c r="D16" s="18" t="s">
        <v>102</v>
      </c>
      <c r="E16" s="18" t="s">
        <v>37</v>
      </c>
      <c r="F16" s="18" t="s">
        <v>38</v>
      </c>
      <c r="G16" s="18" t="s">
        <v>103</v>
      </c>
    </row>
    <row r="17" spans="1:7" ht="62.4" customHeight="1">
      <c r="A17" s="18" t="s">
        <v>104</v>
      </c>
      <c r="B17" s="18" t="s">
        <v>105</v>
      </c>
      <c r="C17" s="18" t="s">
        <v>106</v>
      </c>
      <c r="D17" s="19" t="s">
        <v>239</v>
      </c>
      <c r="E17" s="18" t="s">
        <v>50</v>
      </c>
      <c r="F17" s="18" t="s">
        <v>60</v>
      </c>
      <c r="G17" s="18" t="s">
        <v>107</v>
      </c>
    </row>
    <row r="18" spans="1:7" ht="62.4" customHeight="1">
      <c r="A18" s="18" t="s">
        <v>108</v>
      </c>
      <c r="B18" s="18" t="s">
        <v>109</v>
      </c>
      <c r="C18" s="18" t="s">
        <v>110</v>
      </c>
      <c r="D18" s="18" t="s">
        <v>111</v>
      </c>
      <c r="E18" s="18" t="s">
        <v>44</v>
      </c>
      <c r="F18" s="18" t="s">
        <v>60</v>
      </c>
      <c r="G18" s="18" t="s">
        <v>112</v>
      </c>
    </row>
    <row r="19" spans="1:7" ht="62.4" customHeight="1">
      <c r="A19" s="18" t="s">
        <v>113</v>
      </c>
      <c r="B19" s="18" t="s">
        <v>114</v>
      </c>
      <c r="C19" s="18" t="s">
        <v>115</v>
      </c>
      <c r="D19" s="18" t="s">
        <v>116</v>
      </c>
      <c r="E19" s="18" t="s">
        <v>50</v>
      </c>
      <c r="F19" s="18" t="s">
        <v>60</v>
      </c>
      <c r="G19" s="18" t="s">
        <v>117</v>
      </c>
    </row>
    <row r="20" spans="1:7" ht="62.4" customHeight="1">
      <c r="A20" s="18" t="s">
        <v>118</v>
      </c>
      <c r="B20" s="18" t="s">
        <v>119</v>
      </c>
      <c r="C20" s="18" t="s">
        <v>120</v>
      </c>
      <c r="D20" s="18" t="s">
        <v>121</v>
      </c>
      <c r="E20" s="18" t="s">
        <v>37</v>
      </c>
      <c r="F20" s="18" t="s">
        <v>122</v>
      </c>
      <c r="G20" s="18" t="s">
        <v>123</v>
      </c>
    </row>
    <row r="21" spans="1:7" ht="62.4" customHeight="1">
      <c r="A21" s="18" t="s">
        <v>124</v>
      </c>
      <c r="B21" s="18" t="s">
        <v>125</v>
      </c>
      <c r="C21" s="18" t="s">
        <v>126</v>
      </c>
      <c r="D21" s="18" t="s">
        <v>127</v>
      </c>
      <c r="E21" s="18" t="s">
        <v>50</v>
      </c>
      <c r="F21" s="18" t="s">
        <v>60</v>
      </c>
      <c r="G21" s="18" t="s">
        <v>128</v>
      </c>
    </row>
    <row r="22" spans="1:7" ht="62.4" customHeight="1">
      <c r="A22" s="18" t="s">
        <v>129</v>
      </c>
      <c r="B22" s="18" t="s">
        <v>130</v>
      </c>
      <c r="C22" s="18" t="s">
        <v>131</v>
      </c>
      <c r="D22" s="18" t="s">
        <v>240</v>
      </c>
      <c r="E22" s="18" t="s">
        <v>44</v>
      </c>
      <c r="F22" s="18" t="s">
        <v>60</v>
      </c>
      <c r="G22" s="18" t="s">
        <v>132</v>
      </c>
    </row>
    <row r="23" spans="1:7" ht="62.4" customHeight="1">
      <c r="A23" s="18" t="s">
        <v>133</v>
      </c>
      <c r="B23" s="18" t="s">
        <v>134</v>
      </c>
      <c r="C23" s="18" t="s">
        <v>135</v>
      </c>
      <c r="D23" s="18" t="s">
        <v>136</v>
      </c>
      <c r="E23" s="18" t="s">
        <v>50</v>
      </c>
      <c r="F23" s="18" t="s">
        <v>38</v>
      </c>
      <c r="G23" s="18" t="s">
        <v>137</v>
      </c>
    </row>
    <row r="24" spans="1:7" ht="62.4" customHeight="1">
      <c r="A24" s="18" t="s">
        <v>138</v>
      </c>
      <c r="B24" s="18" t="s">
        <v>139</v>
      </c>
      <c r="C24" s="18" t="s">
        <v>140</v>
      </c>
      <c r="D24" s="18" t="s">
        <v>141</v>
      </c>
      <c r="E24" s="18" t="s">
        <v>44</v>
      </c>
      <c r="F24" s="18" t="s">
        <v>60</v>
      </c>
      <c r="G24" s="18" t="s">
        <v>142</v>
      </c>
    </row>
    <row r="25" spans="1:7" ht="62.4" customHeight="1">
      <c r="A25" s="18" t="s">
        <v>143</v>
      </c>
      <c r="B25" s="18" t="s">
        <v>144</v>
      </c>
      <c r="C25" s="18" t="s">
        <v>241</v>
      </c>
      <c r="D25" s="18" t="s">
        <v>146</v>
      </c>
      <c r="E25" s="18" t="s">
        <v>37</v>
      </c>
      <c r="F25" s="18" t="s">
        <v>60</v>
      </c>
      <c r="G25" s="18" t="s">
        <v>147</v>
      </c>
    </row>
    <row r="26" spans="1:7" ht="62.4" customHeight="1">
      <c r="A26" s="18" t="s">
        <v>148</v>
      </c>
      <c r="B26" s="18" t="s">
        <v>149</v>
      </c>
      <c r="C26" s="18" t="s">
        <v>265</v>
      </c>
      <c r="D26" s="18" t="s">
        <v>150</v>
      </c>
      <c r="E26" s="18" t="s">
        <v>44</v>
      </c>
      <c r="F26" s="18" t="s">
        <v>38</v>
      </c>
      <c r="G26" s="18" t="s">
        <v>218</v>
      </c>
    </row>
    <row r="27" spans="1:7" ht="62.4" customHeight="1">
      <c r="A27" s="18" t="s">
        <v>151</v>
      </c>
      <c r="B27" s="18" t="s">
        <v>152</v>
      </c>
      <c r="C27" s="18" t="s">
        <v>153</v>
      </c>
      <c r="D27" s="18" t="s">
        <v>154</v>
      </c>
      <c r="E27" s="18" t="s">
        <v>37</v>
      </c>
      <c r="F27" s="18" t="s">
        <v>60</v>
      </c>
      <c r="G27" s="18" t="s">
        <v>155</v>
      </c>
    </row>
    <row r="28" spans="1:7" ht="62.4" customHeight="1">
      <c r="A28" s="18" t="s">
        <v>156</v>
      </c>
      <c r="B28" s="18" t="s">
        <v>157</v>
      </c>
      <c r="C28" s="18" t="s">
        <v>158</v>
      </c>
      <c r="D28" s="18" t="s">
        <v>159</v>
      </c>
      <c r="E28" s="18" t="s">
        <v>44</v>
      </c>
      <c r="F28" s="18" t="s">
        <v>60</v>
      </c>
      <c r="G28" s="18" t="s">
        <v>160</v>
      </c>
    </row>
    <row r="29" spans="1:7" ht="62.4" customHeight="1">
      <c r="A29" s="18" t="s">
        <v>161</v>
      </c>
      <c r="B29" s="18" t="s">
        <v>162</v>
      </c>
      <c r="C29" s="18" t="s">
        <v>163</v>
      </c>
      <c r="D29" s="18" t="s">
        <v>224</v>
      </c>
      <c r="E29" s="18" t="s">
        <v>50</v>
      </c>
      <c r="F29" s="18" t="s">
        <v>60</v>
      </c>
      <c r="G29" s="18" t="s">
        <v>164</v>
      </c>
    </row>
    <row r="30" spans="1:7" ht="62.4" customHeight="1">
      <c r="A30" s="18" t="s">
        <v>165</v>
      </c>
      <c r="B30" s="18" t="s">
        <v>166</v>
      </c>
      <c r="C30" s="18" t="s">
        <v>167</v>
      </c>
      <c r="D30" s="18" t="s">
        <v>168</v>
      </c>
      <c r="E30" s="18" t="s">
        <v>37</v>
      </c>
      <c r="F30" s="18" t="s">
        <v>60</v>
      </c>
      <c r="G30" s="18" t="s">
        <v>169</v>
      </c>
    </row>
    <row r="31" spans="1:7" ht="62.4" customHeight="1">
      <c r="A31" s="18" t="s">
        <v>170</v>
      </c>
      <c r="B31" s="18" t="s">
        <v>171</v>
      </c>
      <c r="C31" s="18" t="s">
        <v>172</v>
      </c>
      <c r="D31" s="18" t="s">
        <v>173</v>
      </c>
      <c r="E31" s="18" t="s">
        <v>50</v>
      </c>
      <c r="F31" s="18" t="s">
        <v>60</v>
      </c>
      <c r="G31" s="18" t="s">
        <v>174</v>
      </c>
    </row>
    <row r="32" spans="1:7" ht="62.4" customHeight="1">
      <c r="A32" s="18" t="s">
        <v>175</v>
      </c>
      <c r="B32" s="18" t="s">
        <v>176</v>
      </c>
      <c r="C32" s="18" t="s">
        <v>177</v>
      </c>
      <c r="D32" s="18" t="s">
        <v>178</v>
      </c>
      <c r="E32" s="18" t="s">
        <v>44</v>
      </c>
      <c r="F32" s="18" t="s">
        <v>60</v>
      </c>
      <c r="G32" s="18" t="s">
        <v>219</v>
      </c>
    </row>
    <row r="33" spans="1:7" ht="62.4" customHeight="1">
      <c r="A33" s="18" t="s">
        <v>179</v>
      </c>
      <c r="B33" s="18" t="s">
        <v>180</v>
      </c>
      <c r="C33" s="18" t="s">
        <v>242</v>
      </c>
      <c r="D33" s="18" t="s">
        <v>182</v>
      </c>
      <c r="E33" s="18" t="s">
        <v>50</v>
      </c>
      <c r="F33" s="18" t="s">
        <v>60</v>
      </c>
      <c r="G33" s="18" t="s">
        <v>183</v>
      </c>
    </row>
    <row r="34" spans="1:7" ht="62.4" customHeight="1">
      <c r="A34" s="18" t="s">
        <v>184</v>
      </c>
      <c r="B34" s="18" t="s">
        <v>185</v>
      </c>
      <c r="C34" s="18" t="s">
        <v>186</v>
      </c>
      <c r="D34" s="18" t="s">
        <v>187</v>
      </c>
      <c r="E34" s="18" t="s">
        <v>37</v>
      </c>
      <c r="F34" s="18" t="s">
        <v>60</v>
      </c>
      <c r="G34" s="18" t="s">
        <v>188</v>
      </c>
    </row>
    <row r="35" spans="1:7" ht="62.4" customHeight="1">
      <c r="A35" s="18" t="s">
        <v>189</v>
      </c>
      <c r="B35" s="18" t="s">
        <v>190</v>
      </c>
      <c r="C35" s="18" t="s">
        <v>191</v>
      </c>
      <c r="D35" s="18" t="s">
        <v>192</v>
      </c>
      <c r="E35" s="18" t="s">
        <v>44</v>
      </c>
      <c r="F35" s="18" t="s">
        <v>122</v>
      </c>
      <c r="G35" s="18" t="s">
        <v>193</v>
      </c>
    </row>
    <row r="36" spans="1:7" ht="62.4" customHeight="1">
      <c r="A36" s="18" t="s">
        <v>194</v>
      </c>
      <c r="B36" s="18" t="s">
        <v>195</v>
      </c>
      <c r="C36" s="18" t="s">
        <v>196</v>
      </c>
      <c r="D36" s="18" t="s">
        <v>197</v>
      </c>
      <c r="E36" s="18" t="s">
        <v>50</v>
      </c>
      <c r="F36" s="18" t="s">
        <v>60</v>
      </c>
      <c r="G36" s="18" t="s">
        <v>198</v>
      </c>
    </row>
    <row r="37" spans="1:7" ht="62.4" customHeight="1">
      <c r="A37" s="18" t="s">
        <v>199</v>
      </c>
      <c r="B37" s="18" t="s">
        <v>200</v>
      </c>
      <c r="C37" s="18" t="s">
        <v>201</v>
      </c>
      <c r="D37" s="18" t="s">
        <v>202</v>
      </c>
      <c r="E37" s="18" t="s">
        <v>203</v>
      </c>
      <c r="F37" s="18" t="s">
        <v>60</v>
      </c>
      <c r="G37" s="18" t="s">
        <v>204</v>
      </c>
    </row>
    <row r="38" spans="1:7" ht="62.4" customHeight="1">
      <c r="A38" s="18" t="s">
        <v>205</v>
      </c>
      <c r="B38" s="18" t="s">
        <v>206</v>
      </c>
      <c r="C38" s="18" t="s">
        <v>207</v>
      </c>
      <c r="D38" s="18" t="s">
        <v>225</v>
      </c>
      <c r="E38" s="18" t="s">
        <v>203</v>
      </c>
      <c r="F38" s="18" t="s">
        <v>60</v>
      </c>
      <c r="G38" s="1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</vt:lpstr>
      <vt:lpstr>Week 05 – Cost &amp; Resources</vt:lpstr>
      <vt:lpstr>Sheet4</vt:lpstr>
      <vt:lpstr>WBS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ANGELO A/L GOVINDASAMY</cp:lastModifiedBy>
  <cp:lastPrinted>2024-10-25T15:20:09Z</cp:lastPrinted>
  <dcterms:created xsi:type="dcterms:W3CDTF">2015-02-24T20:54:00Z</dcterms:created>
  <dcterms:modified xsi:type="dcterms:W3CDTF">2026-01-18T11:20:39Z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9D7B1178C4DE4210B09CC28CDCB8DDE2</vt:lpwstr>
  </property>
  <property fmtid="{D5CDD505-2E9C-101B-9397-08002B2CF9AE}" pid="3" name="KSOProductBuildVer">
    <vt:lpwstr>1033-11.2.0.11486</vt:lpwstr>
  </property>
</Properties>
</file>